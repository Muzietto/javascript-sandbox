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Francesco\Desktop\"/>
    </mc:Choice>
  </mc:AlternateContent>
  <bookViews>
    <workbookView xWindow="0" yWindow="0" windowWidth="23040" windowHeight="9084" tabRatio="602"/>
  </bookViews>
  <sheets>
    <sheet name="MIB dal 2013" sheetId="46" r:id="rId1"/>
  </sheets>
  <definedNames>
    <definedName name="_xlnm._FilterDatabase" localSheetId="0" hidden="1">'MIB dal 2013'!$D$5:$H$129</definedName>
  </definedNames>
  <calcPr calcId="152511"/>
</workbook>
</file>

<file path=xl/calcChain.xml><?xml version="1.0" encoding="utf-8"?>
<calcChain xmlns="http://schemas.openxmlformats.org/spreadsheetml/2006/main">
  <c r="B954" i="46" l="1"/>
  <c r="B953" i="46" s="1"/>
  <c r="B952" i="46" s="1"/>
  <c r="B951" i="46" s="1"/>
  <c r="B950" i="46" s="1"/>
  <c r="B949" i="46" s="1"/>
  <c r="B948" i="46" s="1"/>
  <c r="B947" i="46" s="1"/>
  <c r="B946" i="46" s="1"/>
  <c r="B945" i="46" s="1"/>
  <c r="B944" i="46" s="1"/>
  <c r="B943" i="46" s="1"/>
  <c r="B942" i="46" s="1"/>
  <c r="B941" i="46" s="1"/>
  <c r="B940" i="46" s="1"/>
  <c r="B939" i="46" s="1"/>
  <c r="B938" i="46" s="1"/>
  <c r="B937" i="46" s="1"/>
  <c r="B936" i="46" s="1"/>
  <c r="B935" i="46" s="1"/>
  <c r="B934" i="46" s="1"/>
  <c r="B932" i="46" s="1"/>
  <c r="B931" i="46" s="1"/>
  <c r="B930" i="46" s="1"/>
  <c r="B929" i="46" s="1"/>
  <c r="B928" i="46" s="1"/>
  <c r="B927" i="46" s="1"/>
  <c r="B926" i="46" s="1"/>
  <c r="B925" i="46" s="1"/>
  <c r="B924" i="46" s="1"/>
  <c r="B923" i="46" s="1"/>
  <c r="B922" i="46" s="1"/>
  <c r="B921" i="46" s="1"/>
  <c r="B920" i="46" s="1"/>
  <c r="B919" i="46" s="1"/>
  <c r="B918" i="46" s="1"/>
  <c r="B917" i="46" s="1"/>
  <c r="B916" i="46" s="1"/>
  <c r="B915" i="46" s="1"/>
  <c r="B914" i="46" s="1"/>
  <c r="B912" i="46" s="1"/>
  <c r="B911" i="46" s="1"/>
  <c r="B910" i="46" s="1"/>
  <c r="B909" i="46" s="1"/>
  <c r="B908" i="46" s="1"/>
  <c r="B907" i="46" s="1"/>
  <c r="B906" i="46" s="1"/>
  <c r="B905" i="46" s="1"/>
  <c r="B904" i="46" s="1"/>
  <c r="B903" i="46" s="1"/>
  <c r="B902" i="46" s="1"/>
  <c r="B901" i="46" s="1"/>
  <c r="B900" i="46" s="1"/>
  <c r="B899" i="46" s="1"/>
  <c r="B898" i="46" s="1"/>
  <c r="B897" i="46" s="1"/>
  <c r="B896" i="46" s="1"/>
  <c r="B895" i="46" s="1"/>
  <c r="B894" i="46" s="1"/>
  <c r="B892" i="46" s="1"/>
  <c r="B891" i="46" s="1"/>
  <c r="B890" i="46" s="1"/>
  <c r="B889" i="46" s="1"/>
  <c r="B888" i="46" s="1"/>
  <c r="B887" i="46" s="1"/>
  <c r="B886" i="46" s="1"/>
  <c r="B885" i="46" s="1"/>
  <c r="B884" i="46" s="1"/>
  <c r="B883" i="46" s="1"/>
  <c r="B882" i="46" s="1"/>
  <c r="B881" i="46" s="1"/>
  <c r="B880" i="46" s="1"/>
  <c r="B879" i="46" s="1"/>
  <c r="B878" i="46" s="1"/>
  <c r="B877" i="46" s="1"/>
  <c r="B876" i="46" s="1"/>
  <c r="B875" i="46" s="1"/>
  <c r="B874" i="46" s="1"/>
  <c r="B873" i="46" s="1"/>
  <c r="B871" i="46" s="1"/>
  <c r="B870" i="46" s="1"/>
  <c r="B869" i="46" s="1"/>
  <c r="B868" i="46" s="1"/>
  <c r="B867" i="46" s="1"/>
  <c r="B866" i="46" s="1"/>
  <c r="B865" i="46" s="1"/>
  <c r="B864" i="46" s="1"/>
  <c r="B863" i="46" s="1"/>
  <c r="B862" i="46" s="1"/>
  <c r="B861" i="46" s="1"/>
  <c r="B860" i="46" s="1"/>
  <c r="B859" i="46" s="1"/>
  <c r="B858" i="46" s="1"/>
  <c r="B857" i="46" s="1"/>
  <c r="B856" i="46" s="1"/>
  <c r="B855" i="46" s="1"/>
  <c r="B854" i="46" s="1"/>
  <c r="B853" i="46" s="1"/>
  <c r="B852" i="46" s="1"/>
  <c r="B851" i="46" s="1"/>
  <c r="B849" i="46" s="1"/>
  <c r="B848" i="46" s="1"/>
  <c r="B847" i="46" s="1"/>
  <c r="B846" i="46" s="1"/>
  <c r="B845" i="46" s="1"/>
  <c r="B844" i="46" s="1"/>
  <c r="B843" i="46" s="1"/>
  <c r="B842" i="46" s="1"/>
  <c r="B841" i="46" s="1"/>
  <c r="B840" i="46" s="1"/>
  <c r="B839" i="46" s="1"/>
  <c r="B838" i="46" s="1"/>
  <c r="B837" i="46" s="1"/>
  <c r="B836" i="46" s="1"/>
  <c r="B835" i="46" s="1"/>
  <c r="B834" i="46" s="1"/>
  <c r="B833" i="46" s="1"/>
  <c r="B832" i="46" s="1"/>
  <c r="B831" i="46" s="1"/>
  <c r="B829" i="46" s="1"/>
  <c r="B828" i="46" s="1"/>
  <c r="B827" i="46" s="1"/>
  <c r="B826" i="46" s="1"/>
  <c r="B825" i="46" s="1"/>
  <c r="B824" i="46" s="1"/>
  <c r="B823" i="46" s="1"/>
  <c r="B822" i="46" s="1"/>
  <c r="B821" i="46" s="1"/>
  <c r="B820" i="46" s="1"/>
  <c r="B819" i="46" s="1"/>
  <c r="B818" i="46" s="1"/>
  <c r="B817" i="46" s="1"/>
  <c r="B816" i="46" s="1"/>
  <c r="B815" i="46" s="1"/>
  <c r="B814" i="46" s="1"/>
  <c r="B813" i="46" s="1"/>
  <c r="B812" i="46" s="1"/>
  <c r="B811" i="46" s="1"/>
  <c r="B810" i="46" s="1"/>
  <c r="B809" i="46" s="1"/>
  <c r="B808" i="46" s="1"/>
  <c r="B806" i="46" s="1"/>
  <c r="B805" i="46" s="1"/>
  <c r="B804" i="46" s="1"/>
  <c r="B803" i="46" s="1"/>
  <c r="B802" i="46" s="1"/>
  <c r="B801" i="46" s="1"/>
  <c r="B800" i="46" s="1"/>
  <c r="B799" i="46" s="1"/>
  <c r="B798" i="46" s="1"/>
  <c r="B797" i="46" s="1"/>
  <c r="B796" i="46" s="1"/>
  <c r="B795" i="46" s="1"/>
  <c r="B794" i="46" s="1"/>
  <c r="B793" i="46" s="1"/>
  <c r="B792" i="46" s="1"/>
  <c r="B791" i="46" s="1"/>
  <c r="B790" i="46" s="1"/>
  <c r="B789" i="46" s="1"/>
  <c r="B788" i="46" s="1"/>
  <c r="B787" i="46" s="1"/>
  <c r="B785" i="46" s="1"/>
  <c r="B784" i="46" s="1"/>
  <c r="B783" i="46" s="1"/>
  <c r="B782" i="46" s="1"/>
  <c r="B781" i="46" s="1"/>
  <c r="B780" i="46" s="1"/>
  <c r="B779" i="46" s="1"/>
  <c r="B778" i="46" s="1"/>
  <c r="B777" i="46" s="1"/>
  <c r="B776" i="46" s="1"/>
  <c r="B775" i="46" s="1"/>
  <c r="B774" i="46" s="1"/>
  <c r="B773" i="46" s="1"/>
  <c r="B772" i="46" s="1"/>
  <c r="B771" i="46" s="1"/>
  <c r="B770" i="46" s="1"/>
  <c r="B769" i="46" s="1"/>
  <c r="B768" i="46" s="1"/>
  <c r="B767" i="46" s="1"/>
  <c r="B766" i="46" s="1"/>
  <c r="B764" i="46" s="1"/>
  <c r="B763" i="46" s="1"/>
  <c r="B762" i="46" s="1"/>
  <c r="B761" i="46" s="1"/>
  <c r="B760" i="46" s="1"/>
  <c r="B759" i="46" s="1"/>
  <c r="B758" i="46" s="1"/>
  <c r="B757" i="46" s="1"/>
  <c r="B756" i="46" s="1"/>
  <c r="B755" i="46" s="1"/>
  <c r="B754" i="46" s="1"/>
  <c r="B753" i="46" s="1"/>
  <c r="B752" i="46" s="1"/>
  <c r="B751" i="46" s="1"/>
  <c r="B750" i="46" s="1"/>
  <c r="B749" i="46" s="1"/>
  <c r="B748" i="46" s="1"/>
  <c r="B747" i="46" s="1"/>
  <c r="B746" i="46" s="1"/>
  <c r="B745" i="46" s="1"/>
  <c r="B744" i="46" s="1"/>
  <c r="B743" i="46" s="1"/>
  <c r="B741" i="46" s="1"/>
  <c r="B740" i="46" s="1"/>
  <c r="B739" i="46" s="1"/>
  <c r="B738" i="46" s="1"/>
  <c r="B737" i="46" s="1"/>
  <c r="B736" i="46" s="1"/>
  <c r="B735" i="46" s="1"/>
  <c r="B734" i="46" s="1"/>
  <c r="B733" i="46" s="1"/>
  <c r="B732" i="46" s="1"/>
  <c r="B731" i="46" s="1"/>
  <c r="B730" i="46" s="1"/>
  <c r="B729" i="46" s="1"/>
  <c r="B728" i="46" s="1"/>
  <c r="B727" i="46" s="1"/>
  <c r="B726" i="46" s="1"/>
  <c r="B725" i="46" s="1"/>
  <c r="B724" i="46" s="1"/>
  <c r="B723" i="46" s="1"/>
  <c r="B722" i="46" s="1"/>
  <c r="B720" i="46" s="1"/>
  <c r="B719" i="46" s="1"/>
  <c r="B718" i="46" s="1"/>
  <c r="B717" i="46" s="1"/>
  <c r="B716" i="46" s="1"/>
  <c r="B715" i="46" s="1"/>
  <c r="B714" i="46" s="1"/>
  <c r="B713" i="46" s="1"/>
  <c r="B712" i="46" s="1"/>
  <c r="B711" i="46" s="1"/>
  <c r="B710" i="46" s="1"/>
  <c r="B709" i="46" s="1"/>
  <c r="B708" i="46" s="1"/>
  <c r="B707" i="46" s="1"/>
  <c r="B706" i="46" s="1"/>
  <c r="B705" i="46" s="1"/>
  <c r="B704" i="46" s="1"/>
  <c r="B702" i="46" s="1"/>
  <c r="B701" i="46" s="1"/>
  <c r="B700" i="46" s="1"/>
  <c r="B699" i="46" s="1"/>
  <c r="B698" i="46" s="1"/>
  <c r="B697" i="46" s="1"/>
  <c r="B696" i="46" s="1"/>
  <c r="B695" i="46" s="1"/>
  <c r="B694" i="46" s="1"/>
  <c r="B693" i="46" s="1"/>
  <c r="B692" i="46" s="1"/>
  <c r="B691" i="46" s="1"/>
  <c r="B690" i="46" s="1"/>
  <c r="B689" i="46" s="1"/>
  <c r="B688" i="46" s="1"/>
  <c r="B687" i="46" s="1"/>
  <c r="B686" i="46" s="1"/>
  <c r="B685" i="46" s="1"/>
  <c r="B684" i="46" s="1"/>
  <c r="B683" i="46" s="1"/>
  <c r="B682" i="46" s="1"/>
  <c r="B680" i="46" s="1"/>
  <c r="B679" i="46" s="1"/>
  <c r="B678" i="46" s="1"/>
  <c r="B677" i="46" s="1"/>
  <c r="B676" i="46" s="1"/>
  <c r="B675" i="46" s="1"/>
  <c r="B674" i="46" s="1"/>
  <c r="B673" i="46" s="1"/>
  <c r="B672" i="46" s="1"/>
  <c r="B671" i="46" s="1"/>
  <c r="B670" i="46" s="1"/>
  <c r="B669" i="46" s="1"/>
  <c r="B668" i="46" s="1"/>
  <c r="B667" i="46" s="1"/>
  <c r="B666" i="46" s="1"/>
  <c r="B665" i="46" s="1"/>
  <c r="B664" i="46" s="1"/>
  <c r="B663" i="46" s="1"/>
  <c r="B662" i="46" s="1"/>
  <c r="B660" i="46" s="1"/>
  <c r="B659" i="46" s="1"/>
  <c r="B658" i="46" s="1"/>
  <c r="B657" i="46" s="1"/>
  <c r="B656" i="46" s="1"/>
  <c r="B655" i="46" s="1"/>
  <c r="B654" i="46" s="1"/>
  <c r="B653" i="46" s="1"/>
  <c r="B652" i="46" s="1"/>
  <c r="B651" i="46" s="1"/>
  <c r="B650" i="46" s="1"/>
  <c r="B649" i="46" s="1"/>
  <c r="B648" i="46" s="1"/>
  <c r="B647" i="46" s="1"/>
  <c r="B646" i="46" s="1"/>
  <c r="B645" i="46" s="1"/>
  <c r="B644" i="46" s="1"/>
  <c r="B643" i="46" s="1"/>
  <c r="B642" i="46" s="1"/>
  <c r="B641" i="46" s="1"/>
  <c r="B639" i="46" s="1"/>
  <c r="B638" i="46" s="1"/>
  <c r="B637" i="46" s="1"/>
  <c r="B636" i="46" s="1"/>
  <c r="B635" i="46" s="1"/>
  <c r="B634" i="46" s="1"/>
  <c r="B633" i="46" s="1"/>
  <c r="B632" i="46" s="1"/>
  <c r="B631" i="46" s="1"/>
  <c r="B630" i="46" s="1"/>
  <c r="B629" i="46" s="1"/>
  <c r="B628" i="46" s="1"/>
  <c r="B627" i="46" s="1"/>
  <c r="B626" i="46" s="1"/>
  <c r="B625" i="46" s="1"/>
  <c r="B624" i="46" s="1"/>
  <c r="B623" i="46" s="1"/>
  <c r="B622" i="46" s="1"/>
  <c r="B621" i="46" s="1"/>
  <c r="B619" i="46" s="1"/>
  <c r="B618" i="46" s="1"/>
  <c r="B617" i="46" s="1"/>
  <c r="B616" i="46" s="1"/>
  <c r="B615" i="46" s="1"/>
  <c r="B614" i="46" s="1"/>
  <c r="B613" i="46" s="1"/>
  <c r="B612" i="46" s="1"/>
  <c r="B611" i="46" s="1"/>
  <c r="B610" i="46" s="1"/>
  <c r="B609" i="46" s="1"/>
  <c r="B608" i="46" s="1"/>
  <c r="B607" i="46" s="1"/>
  <c r="B606" i="46" s="1"/>
  <c r="B605" i="46" s="1"/>
  <c r="B604" i="46" s="1"/>
  <c r="B603" i="46" s="1"/>
  <c r="B602" i="46" s="1"/>
  <c r="B601" i="46" s="1"/>
  <c r="B600" i="46" s="1"/>
  <c r="B598" i="46" s="1"/>
  <c r="B597" i="46" s="1"/>
  <c r="B596" i="46" s="1"/>
  <c r="B595" i="46" s="1"/>
  <c r="B594" i="46" s="1"/>
  <c r="B593" i="46" s="1"/>
  <c r="B592" i="46" s="1"/>
  <c r="B591" i="46" s="1"/>
  <c r="B590" i="46" s="1"/>
  <c r="B589" i="46" s="1"/>
  <c r="B588" i="46" s="1"/>
  <c r="B587" i="46" s="1"/>
  <c r="B586" i="46" s="1"/>
  <c r="B585" i="46" s="1"/>
  <c r="B584" i="46" s="1"/>
  <c r="B583" i="46" s="1"/>
  <c r="B582" i="46" s="1"/>
  <c r="B581" i="46" s="1"/>
  <c r="B580" i="46" s="1"/>
  <c r="B579" i="46" s="1"/>
  <c r="B577" i="46" s="1"/>
  <c r="B576" i="46" s="1"/>
  <c r="B575" i="46" s="1"/>
  <c r="B574" i="46" s="1"/>
  <c r="B573" i="46" s="1"/>
  <c r="B572" i="46" s="1"/>
  <c r="B571" i="46" s="1"/>
  <c r="B570" i="46" s="1"/>
  <c r="B569" i="46" s="1"/>
  <c r="B568" i="46" s="1"/>
  <c r="B567" i="46" s="1"/>
  <c r="B566" i="46" s="1"/>
  <c r="B565" i="46" s="1"/>
  <c r="B564" i="46" s="1"/>
  <c r="B563" i="46" s="1"/>
  <c r="B562" i="46" s="1"/>
  <c r="B561" i="46" s="1"/>
  <c r="B560" i="46" s="1"/>
  <c r="B559" i="46" s="1"/>
  <c r="B558" i="46" s="1"/>
  <c r="B557" i="46" s="1"/>
  <c r="B556" i="46" s="1"/>
  <c r="B554" i="46" s="1"/>
  <c r="B553" i="46" s="1"/>
  <c r="B552" i="46" s="1"/>
  <c r="B551" i="46" s="1"/>
  <c r="B550" i="46" s="1"/>
  <c r="B549" i="46" s="1"/>
  <c r="B548" i="46" s="1"/>
  <c r="B547" i="46" s="1"/>
  <c r="B546" i="46" s="1"/>
  <c r="B545" i="46" s="1"/>
  <c r="B544" i="46" s="1"/>
  <c r="B543" i="46" s="1"/>
  <c r="B542" i="46" s="1"/>
  <c r="B541" i="46" s="1"/>
  <c r="B540" i="46" s="1"/>
  <c r="B539" i="46" s="1"/>
  <c r="B538" i="46" s="1"/>
  <c r="B537" i="46" s="1"/>
  <c r="B536" i="46" s="1"/>
  <c r="B534" i="46" s="1"/>
  <c r="B533" i="46" s="1"/>
  <c r="B532" i="46" s="1"/>
  <c r="B531" i="46" s="1"/>
  <c r="B530" i="46" s="1"/>
  <c r="B529" i="46" s="1"/>
  <c r="B528" i="46" s="1"/>
  <c r="B527" i="46" s="1"/>
  <c r="B526" i="46" s="1"/>
  <c r="B525" i="46" s="1"/>
  <c r="B524" i="46" s="1"/>
  <c r="B523" i="46" s="1"/>
  <c r="B522" i="46" s="1"/>
  <c r="B521" i="46" s="1"/>
  <c r="B520" i="46" s="1"/>
  <c r="B519" i="46" s="1"/>
  <c r="B518" i="46" s="1"/>
  <c r="B517" i="46" s="1"/>
  <c r="B516" i="46" s="1"/>
  <c r="B515" i="46" s="1"/>
  <c r="B514" i="46" s="1"/>
  <c r="B512" i="46" s="1"/>
  <c r="B511" i="46" s="1"/>
  <c r="B510" i="46" s="1"/>
  <c r="B509" i="46" s="1"/>
  <c r="B508" i="46" s="1"/>
  <c r="B507" i="46" s="1"/>
  <c r="B506" i="46" s="1"/>
  <c r="B505" i="46" s="1"/>
  <c r="B504" i="46" s="1"/>
  <c r="B503" i="46" s="1"/>
  <c r="B502" i="46" s="1"/>
  <c r="B501" i="46" s="1"/>
  <c r="B500" i="46" s="1"/>
  <c r="B499" i="46" s="1"/>
  <c r="B498" i="46" s="1"/>
  <c r="B497" i="46" s="1"/>
  <c r="B496" i="46" s="1"/>
  <c r="B495" i="46" s="1"/>
  <c r="B494" i="46" s="1"/>
  <c r="B493" i="46" s="1"/>
  <c r="B492" i="46" s="1"/>
  <c r="B491" i="46" s="1"/>
  <c r="B489" i="46" s="1"/>
  <c r="B488" i="46" s="1"/>
  <c r="B487" i="46" s="1"/>
  <c r="B486" i="46" s="1"/>
  <c r="B485" i="46" s="1"/>
  <c r="B484" i="46" s="1"/>
  <c r="B483" i="46" s="1"/>
  <c r="B482" i="46" s="1"/>
  <c r="B481" i="46" s="1"/>
  <c r="B480" i="46" s="1"/>
  <c r="B479" i="46" s="1"/>
  <c r="B478" i="46" s="1"/>
  <c r="B477" i="46" s="1"/>
  <c r="B476" i="46" s="1"/>
  <c r="B475" i="46" s="1"/>
  <c r="B474" i="46" s="1"/>
  <c r="B473" i="46" s="1"/>
  <c r="B472" i="46" s="1"/>
  <c r="B471" i="46" s="1"/>
  <c r="B469" i="46" s="1"/>
  <c r="B468" i="46" s="1"/>
  <c r="B467" i="46" s="1"/>
  <c r="B466" i="46" s="1"/>
  <c r="B465" i="46" s="1"/>
  <c r="B464" i="46" s="1"/>
  <c r="B463" i="46" s="1"/>
  <c r="B462" i="46" s="1"/>
  <c r="B461" i="46" s="1"/>
  <c r="B460" i="46" s="1"/>
  <c r="B459" i="46" s="1"/>
  <c r="B458" i="46" s="1"/>
  <c r="B457" i="46" s="1"/>
  <c r="B456" i="46" s="1"/>
  <c r="B455" i="46" s="1"/>
  <c r="B454" i="46" s="1"/>
  <c r="B453" i="46" s="1"/>
  <c r="B452" i="46" s="1"/>
  <c r="B450" i="46" s="1"/>
  <c r="B449" i="46" s="1"/>
  <c r="B448" i="46" s="1"/>
  <c r="B447" i="46" s="1"/>
  <c r="B446" i="46" s="1"/>
  <c r="B445" i="46" s="1"/>
  <c r="B444" i="46" s="1"/>
  <c r="B443" i="46" s="1"/>
  <c r="B442" i="46" s="1"/>
  <c r="B441" i="46" s="1"/>
  <c r="B440" i="46" s="1"/>
  <c r="B439" i="46" s="1"/>
  <c r="B438" i="46" s="1"/>
  <c r="B437" i="46" s="1"/>
  <c r="B436" i="46" s="1"/>
  <c r="B435" i="46" s="1"/>
  <c r="B434" i="46" s="1"/>
  <c r="B433" i="46" s="1"/>
  <c r="B432" i="46" s="1"/>
  <c r="B431" i="46" s="1"/>
  <c r="B429" i="46" s="1"/>
  <c r="B428" i="46" s="1"/>
  <c r="B427" i="46" s="1"/>
  <c r="B426" i="46" s="1"/>
  <c r="B425" i="46" s="1"/>
  <c r="B424" i="46" s="1"/>
  <c r="B423" i="46" s="1"/>
  <c r="B422" i="46" s="1"/>
  <c r="B421" i="46" s="1"/>
  <c r="B420" i="46" s="1"/>
  <c r="B419" i="46" s="1"/>
  <c r="B418" i="46" s="1"/>
  <c r="B417" i="46" s="1"/>
  <c r="B416" i="46" s="1"/>
  <c r="B415" i="46" s="1"/>
  <c r="B414" i="46" s="1"/>
  <c r="B413" i="46" s="1"/>
  <c r="B412" i="46" s="1"/>
  <c r="B411" i="46" s="1"/>
  <c r="B409" i="46" s="1"/>
  <c r="B408" i="46" s="1"/>
  <c r="B407" i="46" s="1"/>
  <c r="B406" i="46" s="1"/>
  <c r="B405" i="46" s="1"/>
  <c r="B404" i="46" s="1"/>
  <c r="B403" i="46" s="1"/>
  <c r="B402" i="46" s="1"/>
  <c r="B401" i="46" s="1"/>
  <c r="B400" i="46" s="1"/>
  <c r="B399" i="46" s="1"/>
  <c r="B398" i="46" s="1"/>
  <c r="B397" i="46" s="1"/>
  <c r="B396" i="46" s="1"/>
  <c r="B395" i="46" s="1"/>
  <c r="B394" i="46" s="1"/>
  <c r="B393" i="46" s="1"/>
  <c r="B392" i="46" s="1"/>
  <c r="B391" i="46" s="1"/>
  <c r="B390" i="46" s="1"/>
  <c r="B389" i="46" s="1"/>
  <c r="B387" i="46" s="1"/>
  <c r="B386" i="46" s="1"/>
  <c r="B385" i="46" s="1"/>
  <c r="B384" i="46" s="1"/>
  <c r="B383" i="46" s="1"/>
  <c r="B382" i="46" s="1"/>
  <c r="B381" i="46" s="1"/>
  <c r="B380" i="46" s="1"/>
  <c r="B379" i="46" s="1"/>
  <c r="B378" i="46" s="1"/>
  <c r="B377" i="46" s="1"/>
  <c r="B376" i="46" s="1"/>
  <c r="B375" i="46" s="1"/>
  <c r="B374" i="46" s="1"/>
  <c r="B373" i="46" s="1"/>
  <c r="B372" i="46" s="1"/>
  <c r="B371" i="46" s="1"/>
  <c r="B370" i="46" s="1"/>
  <c r="B369" i="46" s="1"/>
  <c r="B367" i="46" s="1"/>
  <c r="B366" i="46" s="1"/>
  <c r="B365" i="46" s="1"/>
  <c r="B364" i="46" s="1"/>
  <c r="B363" i="46" s="1"/>
  <c r="B362" i="46" s="1"/>
  <c r="B361" i="46" s="1"/>
  <c r="B360" i="46" s="1"/>
  <c r="B359" i="46" s="1"/>
  <c r="B358" i="46" s="1"/>
  <c r="B357" i="46" s="1"/>
  <c r="B356" i="46" s="1"/>
  <c r="B355" i="46" s="1"/>
  <c r="B354" i="46" s="1"/>
  <c r="B353" i="46" s="1"/>
  <c r="B352" i="46" s="1"/>
  <c r="B351" i="46" s="1"/>
  <c r="B350" i="46" s="1"/>
  <c r="B349" i="46" s="1"/>
  <c r="B347" i="46" s="1"/>
  <c r="B346" i="46" s="1"/>
  <c r="B345" i="46" s="1"/>
  <c r="B344" i="46" s="1"/>
  <c r="B343" i="46" s="1"/>
  <c r="B342" i="46" s="1"/>
  <c r="B341" i="46" s="1"/>
  <c r="B340" i="46" s="1"/>
  <c r="B339" i="46" s="1"/>
  <c r="B338" i="46" s="1"/>
  <c r="B337" i="46" s="1"/>
  <c r="B336" i="46" s="1"/>
  <c r="B335" i="46" s="1"/>
  <c r="B334" i="46" s="1"/>
  <c r="B333" i="46" s="1"/>
  <c r="B332" i="46" s="1"/>
  <c r="B331" i="46" s="1"/>
  <c r="B330" i="46" s="1"/>
  <c r="B329" i="46" s="1"/>
  <c r="B328" i="46" s="1"/>
  <c r="B327" i="46" s="1"/>
  <c r="B325" i="46" s="1"/>
  <c r="B324" i="46" s="1"/>
  <c r="B323" i="46" s="1"/>
  <c r="B322" i="46" s="1"/>
  <c r="B321" i="46" s="1"/>
  <c r="B320" i="46" s="1"/>
  <c r="B319" i="46" s="1"/>
  <c r="B318" i="46" s="1"/>
  <c r="B317" i="46" s="1"/>
  <c r="B316" i="46" s="1"/>
  <c r="B315" i="46" s="1"/>
  <c r="B314" i="46" s="1"/>
  <c r="B313" i="46" s="1"/>
  <c r="B312" i="46" s="1"/>
  <c r="B311" i="46" s="1"/>
  <c r="B310" i="46" s="1"/>
  <c r="B309" i="46" s="1"/>
  <c r="B308" i="46" s="1"/>
  <c r="B307" i="46" s="1"/>
  <c r="B306" i="46" s="1"/>
  <c r="B305" i="46" s="1"/>
  <c r="B304" i="46" s="1"/>
  <c r="B302" i="46" s="1"/>
  <c r="B301" i="46" s="1"/>
  <c r="B300" i="46" s="1"/>
  <c r="B299" i="46" s="1"/>
  <c r="B298" i="46" s="1"/>
  <c r="B297" i="46" s="1"/>
  <c r="B296" i="46" s="1"/>
  <c r="B295" i="46" s="1"/>
  <c r="B294" i="46" s="1"/>
  <c r="B293" i="46" s="1"/>
  <c r="B292" i="46" s="1"/>
  <c r="B291" i="46" s="1"/>
  <c r="B290" i="46" s="1"/>
  <c r="B289" i="46" s="1"/>
  <c r="B288" i="46" s="1"/>
  <c r="B287" i="46" s="1"/>
  <c r="B286" i="46" s="1"/>
  <c r="B285" i="46" s="1"/>
  <c r="B284" i="46" s="1"/>
  <c r="B283" i="46" s="1"/>
  <c r="B281" i="46" s="1"/>
  <c r="B280" i="46" s="1"/>
  <c r="B279" i="46" s="1"/>
  <c r="B278" i="46" s="1"/>
  <c r="B277" i="46" s="1"/>
  <c r="B276" i="46" s="1"/>
  <c r="B275" i="46" s="1"/>
  <c r="B274" i="46" s="1"/>
  <c r="B273" i="46" s="1"/>
  <c r="B272" i="46" s="1"/>
  <c r="B271" i="46" s="1"/>
  <c r="B270" i="46" s="1"/>
  <c r="B269" i="46" s="1"/>
  <c r="B268" i="46" s="1"/>
  <c r="B267" i="46" s="1"/>
  <c r="B266" i="46" s="1"/>
  <c r="B265" i="46" s="1"/>
  <c r="B264" i="46" s="1"/>
  <c r="B263" i="46" s="1"/>
  <c r="B262" i="46" s="1"/>
  <c r="B261" i="46" s="1"/>
  <c r="B259" i="46" s="1"/>
  <c r="B258" i="46" s="1"/>
  <c r="B257" i="46" s="1"/>
  <c r="B256" i="46" s="1"/>
  <c r="B255" i="46" s="1"/>
  <c r="B254" i="46" s="1"/>
  <c r="B253" i="46" s="1"/>
  <c r="B252" i="46" s="1"/>
  <c r="B251" i="46" s="1"/>
  <c r="B250" i="46" s="1"/>
  <c r="B249" i="46" s="1"/>
  <c r="B248" i="46" s="1"/>
  <c r="B247" i="46" s="1"/>
  <c r="B246" i="46" s="1"/>
  <c r="B245" i="46" s="1"/>
  <c r="B244" i="46" s="1"/>
  <c r="B243" i="46" s="1"/>
  <c r="B242" i="46" s="1"/>
  <c r="B241" i="46" s="1"/>
  <c r="B240" i="46" s="1"/>
  <c r="B239" i="46" s="1"/>
  <c r="B237" i="46" s="1"/>
  <c r="B236" i="46" s="1"/>
  <c r="B235" i="46" s="1"/>
  <c r="B234" i="46" s="1"/>
  <c r="B233" i="46" s="1"/>
  <c r="B232" i="46" s="1"/>
  <c r="B231" i="46" s="1"/>
  <c r="B230" i="46" s="1"/>
  <c r="B229" i="46" s="1"/>
  <c r="B228" i="46" s="1"/>
  <c r="B227" i="46" s="1"/>
  <c r="B226" i="46" s="1"/>
  <c r="B225" i="46" s="1"/>
  <c r="B224" i="46" s="1"/>
  <c r="B223" i="46" s="1"/>
  <c r="B222" i="46" s="1"/>
  <c r="B221" i="46" s="1"/>
  <c r="B220" i="46" s="1"/>
  <c r="B219" i="46" s="1"/>
  <c r="B218" i="46" s="1"/>
  <c r="B216" i="46" s="1"/>
  <c r="B215" i="46" s="1"/>
  <c r="B214" i="46" s="1"/>
  <c r="B213" i="46" s="1"/>
  <c r="B212" i="46" s="1"/>
  <c r="B211" i="46" s="1"/>
  <c r="B210" i="46" s="1"/>
  <c r="B209" i="46" s="1"/>
  <c r="B208" i="46" s="1"/>
  <c r="B207" i="46" s="1"/>
  <c r="B206" i="46" s="1"/>
  <c r="B205" i="46" s="1"/>
  <c r="B204" i="46" s="1"/>
  <c r="B203" i="46" s="1"/>
  <c r="B202" i="46" s="1"/>
  <c r="B201" i="46" s="1"/>
  <c r="B200" i="46" s="1"/>
  <c r="B199" i="46" s="1"/>
  <c r="B198" i="46" s="1"/>
  <c r="B196" i="46" s="1"/>
  <c r="B195" i="46" s="1"/>
  <c r="B194" i="46" s="1"/>
  <c r="B193" i="46" s="1"/>
  <c r="B192" i="46" s="1"/>
  <c r="B191" i="46" s="1"/>
  <c r="B190" i="46" s="1"/>
  <c r="B189" i="46" s="1"/>
  <c r="B188" i="46" s="1"/>
  <c r="B187" i="46" s="1"/>
  <c r="B186" i="46" s="1"/>
  <c r="B185" i="46" s="1"/>
  <c r="B184" i="46" s="1"/>
  <c r="B183" i="46" s="1"/>
  <c r="B182" i="46" s="1"/>
  <c r="B181" i="46" s="1"/>
  <c r="B180" i="46" s="1"/>
  <c r="B179" i="46" s="1"/>
  <c r="B178" i="46" s="1"/>
  <c r="B176" i="46" s="1"/>
  <c r="B175" i="46" s="1"/>
  <c r="B174" i="46" s="1"/>
  <c r="B173" i="46" s="1"/>
  <c r="B172" i="46" s="1"/>
  <c r="B171" i="46" s="1"/>
  <c r="B170" i="46" s="1"/>
  <c r="B169" i="46" s="1"/>
  <c r="B168" i="46" s="1"/>
  <c r="B167" i="46" s="1"/>
  <c r="B166" i="46" s="1"/>
  <c r="B165" i="46" s="1"/>
  <c r="B164" i="46" s="1"/>
  <c r="B163" i="46" s="1"/>
  <c r="B162" i="46" s="1"/>
  <c r="B161" i="46" s="1"/>
  <c r="B160" i="46" s="1"/>
  <c r="B159" i="46" s="1"/>
  <c r="B158" i="46" s="1"/>
  <c r="B157" i="46" s="1"/>
  <c r="B155" i="46" s="1"/>
  <c r="B154" i="46" s="1"/>
  <c r="B153" i="46" s="1"/>
  <c r="B152" i="46" s="1"/>
  <c r="B151" i="46" s="1"/>
  <c r="B150" i="46" s="1"/>
  <c r="B149" i="46" s="1"/>
  <c r="B148" i="46" s="1"/>
  <c r="B147" i="46" s="1"/>
  <c r="B146" i="46" s="1"/>
  <c r="B145" i="46" s="1"/>
  <c r="B144" i="46" s="1"/>
  <c r="B143" i="46" s="1"/>
  <c r="B142" i="46" s="1"/>
  <c r="B141" i="46" s="1"/>
  <c r="B140" i="46" s="1"/>
  <c r="B139" i="46" s="1"/>
  <c r="B138" i="46" s="1"/>
  <c r="B137" i="46" s="1"/>
  <c r="B136" i="46" s="1"/>
  <c r="B134" i="46" s="1"/>
  <c r="B133" i="46" s="1"/>
  <c r="B132" i="46" s="1"/>
  <c r="B131" i="46" s="1"/>
  <c r="B130" i="46" s="1"/>
  <c r="B129" i="46" s="1"/>
  <c r="B128" i="46" s="1"/>
  <c r="B127" i="46" s="1"/>
  <c r="B126" i="46" s="1"/>
  <c r="B125" i="46" s="1"/>
  <c r="B124" i="46" s="1"/>
  <c r="B123" i="46" s="1"/>
  <c r="B122" i="46" s="1"/>
  <c r="B121" i="46" s="1"/>
  <c r="B120" i="46" s="1"/>
  <c r="B119" i="46" s="1"/>
  <c r="B118" i="46" s="1"/>
  <c r="B117" i="46" s="1"/>
  <c r="B116" i="46" s="1"/>
  <c r="B115" i="46" s="1"/>
  <c r="B113" i="46" s="1"/>
  <c r="B112" i="46" s="1"/>
  <c r="B111" i="46" s="1"/>
  <c r="B110" i="46" s="1"/>
  <c r="B109" i="46" s="1"/>
  <c r="B108" i="46" s="1"/>
  <c r="B107" i="46" s="1"/>
  <c r="B106" i="46" s="1"/>
  <c r="B105" i="46" s="1"/>
  <c r="B104" i="46" s="1"/>
  <c r="B103" i="46" s="1"/>
  <c r="B102" i="46" s="1"/>
  <c r="B101" i="46" s="1"/>
  <c r="B100" i="46" s="1"/>
  <c r="B99" i="46" s="1"/>
  <c r="B98" i="46" s="1"/>
  <c r="B97" i="46" s="1"/>
  <c r="B96" i="46" s="1"/>
  <c r="B95" i="46" s="1"/>
  <c r="B94" i="46" s="1"/>
  <c r="B93" i="46" s="1"/>
  <c r="B91" i="46" s="1"/>
  <c r="B90" i="46" s="1"/>
  <c r="B89" i="46" s="1"/>
  <c r="B88" i="46" s="1"/>
  <c r="B87" i="46" s="1"/>
  <c r="B86" i="46" s="1"/>
  <c r="B85" i="46" s="1"/>
  <c r="B84" i="46" s="1"/>
  <c r="B83" i="46" s="1"/>
  <c r="B82" i="46" s="1"/>
  <c r="B81" i="46" s="1"/>
  <c r="B80" i="46" s="1"/>
  <c r="B79" i="46" s="1"/>
  <c r="B78" i="46" s="1"/>
  <c r="B77" i="46" s="1"/>
  <c r="B76" i="46" s="1"/>
  <c r="B75" i="46" s="1"/>
  <c r="B74" i="46" s="1"/>
  <c r="B73" i="46" s="1"/>
  <c r="B72" i="46" s="1"/>
  <c r="B71" i="46" s="1"/>
  <c r="B69" i="46" s="1"/>
  <c r="B68" i="46" s="1"/>
  <c r="B67" i="46" s="1"/>
  <c r="B66" i="46" s="1"/>
  <c r="B65" i="46" s="1"/>
  <c r="B64" i="46" s="1"/>
  <c r="B63" i="46" s="1"/>
  <c r="B62" i="46" s="1"/>
  <c r="B61" i="46" s="1"/>
  <c r="B60" i="46" s="1"/>
  <c r="B59" i="46" s="1"/>
  <c r="B58" i="46" s="1"/>
  <c r="B57" i="46" s="1"/>
  <c r="B56" i="46" s="1"/>
  <c r="B55" i="46" s="1"/>
  <c r="B54" i="46" s="1"/>
  <c r="B53" i="46" s="1"/>
  <c r="B52" i="46" s="1"/>
  <c r="B51" i="46" s="1"/>
  <c r="B50" i="46" s="1"/>
  <c r="B48" i="46" s="1"/>
  <c r="B47" i="46" s="1"/>
  <c r="B46" i="46" s="1"/>
  <c r="B45" i="46" s="1"/>
  <c r="B44" i="46" s="1"/>
  <c r="B43" i="46" s="1"/>
  <c r="B42" i="46" s="1"/>
  <c r="B41" i="46" s="1"/>
  <c r="B40" i="46" s="1"/>
  <c r="B39" i="46" s="1"/>
  <c r="B38" i="46" s="1"/>
  <c r="B37" i="46" s="1"/>
  <c r="B36" i="46" s="1"/>
  <c r="B35" i="46" s="1"/>
  <c r="B34" i="46" s="1"/>
  <c r="B33" i="46" s="1"/>
  <c r="B32" i="46" s="1"/>
  <c r="B31" i="46" s="1"/>
  <c r="B30" i="46" s="1"/>
  <c r="B29" i="46" s="1"/>
  <c r="B28" i="46" s="1"/>
  <c r="B26" i="46" s="1"/>
  <c r="B25" i="46" s="1"/>
  <c r="B24" i="46" s="1"/>
  <c r="B23" i="46" s="1"/>
  <c r="B22" i="46" s="1"/>
  <c r="B21" i="46" s="1"/>
  <c r="B20" i="46" s="1"/>
  <c r="B19" i="46" s="1"/>
  <c r="B18" i="46" s="1"/>
  <c r="B17" i="46" s="1"/>
  <c r="B16" i="46" s="1"/>
  <c r="B15" i="46" s="1"/>
  <c r="B14" i="46" s="1"/>
  <c r="B13" i="46" s="1"/>
  <c r="B12" i="46" s="1"/>
  <c r="B11" i="46" s="1"/>
  <c r="B10" i="46" s="1"/>
  <c r="B9" i="46" s="1"/>
  <c r="B8" i="46" s="1"/>
  <c r="B7" i="46" s="1"/>
  <c r="B6" i="46" s="1"/>
  <c r="D955" i="46" l="1"/>
  <c r="C955" i="46" s="1"/>
  <c r="F954" i="46"/>
  <c r="E954" i="46"/>
  <c r="D954" i="46"/>
  <c r="C954" i="46" s="1"/>
  <c r="F953" i="46"/>
  <c r="E953" i="46"/>
  <c r="D953" i="46"/>
  <c r="C953" i="46" s="1"/>
  <c r="F952" i="46"/>
  <c r="E952" i="46"/>
  <c r="D952" i="46"/>
  <c r="C952" i="46" s="1"/>
  <c r="F951" i="46"/>
  <c r="E951" i="46"/>
  <c r="D951" i="46"/>
  <c r="C951" i="46" s="1"/>
  <c r="F950" i="46"/>
  <c r="E950" i="46"/>
  <c r="D950" i="46"/>
  <c r="C950" i="46" s="1"/>
  <c r="F949" i="46"/>
  <c r="E949" i="46"/>
  <c r="D949" i="46"/>
  <c r="C949" i="46" s="1"/>
  <c r="F948" i="46"/>
  <c r="E948" i="46"/>
  <c r="D948" i="46"/>
  <c r="C948" i="46" s="1"/>
  <c r="F947" i="46"/>
  <c r="E947" i="46"/>
  <c r="D947" i="46"/>
  <c r="C947" i="46" s="1"/>
  <c r="F946" i="46"/>
  <c r="E946" i="46"/>
  <c r="D946" i="46"/>
  <c r="C946" i="46" s="1"/>
  <c r="F945" i="46"/>
  <c r="E945" i="46"/>
  <c r="D945" i="46"/>
  <c r="C945" i="46" s="1"/>
  <c r="F944" i="46"/>
  <c r="E944" i="46"/>
  <c r="D944" i="46"/>
  <c r="C944" i="46" s="1"/>
  <c r="F943" i="46"/>
  <c r="E943" i="46"/>
  <c r="D943" i="46"/>
  <c r="C943" i="46" s="1"/>
  <c r="F942" i="46"/>
  <c r="E942" i="46"/>
  <c r="D942" i="46"/>
  <c r="C942" i="46" s="1"/>
  <c r="F941" i="46"/>
  <c r="E941" i="46"/>
  <c r="D941" i="46"/>
  <c r="C941" i="46" s="1"/>
  <c r="F940" i="46"/>
  <c r="E940" i="46"/>
  <c r="D940" i="46"/>
  <c r="C940" i="46" s="1"/>
  <c r="F939" i="46"/>
  <c r="E939" i="46"/>
  <c r="D939" i="46"/>
  <c r="C939" i="46" s="1"/>
  <c r="F938" i="46"/>
  <c r="E938" i="46"/>
  <c r="D938" i="46"/>
  <c r="C938" i="46" s="1"/>
  <c r="F937" i="46"/>
  <c r="E937" i="46"/>
  <c r="D937" i="46"/>
  <c r="C937" i="46" s="1"/>
  <c r="F936" i="46"/>
  <c r="E936" i="46"/>
  <c r="D936" i="46"/>
  <c r="C936" i="46" s="1"/>
  <c r="F935" i="46"/>
  <c r="E935" i="46"/>
  <c r="D935" i="46"/>
  <c r="C935" i="46" s="1"/>
  <c r="F934" i="46"/>
  <c r="E934" i="46"/>
  <c r="D934" i="46"/>
  <c r="C934" i="46" s="1"/>
  <c r="F933" i="46"/>
  <c r="E933" i="46"/>
  <c r="D933" i="46"/>
  <c r="C933" i="46" s="1"/>
  <c r="F932" i="46"/>
  <c r="E932" i="46"/>
  <c r="D932" i="46"/>
  <c r="C932" i="46" s="1"/>
  <c r="F931" i="46"/>
  <c r="E931" i="46"/>
  <c r="D931" i="46"/>
  <c r="C931" i="46" s="1"/>
  <c r="F930" i="46"/>
  <c r="E930" i="46"/>
  <c r="D930" i="46"/>
  <c r="C930" i="46" s="1"/>
  <c r="F929" i="46"/>
  <c r="E929" i="46"/>
  <c r="D929" i="46"/>
  <c r="C929" i="46" s="1"/>
  <c r="F928" i="46"/>
  <c r="E928" i="46"/>
  <c r="D928" i="46"/>
  <c r="C928" i="46" s="1"/>
  <c r="F927" i="46"/>
  <c r="E927" i="46"/>
  <c r="D927" i="46"/>
  <c r="C927" i="46" s="1"/>
  <c r="F926" i="46"/>
  <c r="E926" i="46"/>
  <c r="D926" i="46"/>
  <c r="C926" i="46" s="1"/>
  <c r="F925" i="46"/>
  <c r="E925" i="46"/>
  <c r="D925" i="46"/>
  <c r="C925" i="46" s="1"/>
  <c r="F924" i="46"/>
  <c r="E924" i="46"/>
  <c r="D924" i="46"/>
  <c r="C924" i="46" s="1"/>
  <c r="F923" i="46"/>
  <c r="E923" i="46"/>
  <c r="D923" i="46"/>
  <c r="C923" i="46" s="1"/>
  <c r="F922" i="46"/>
  <c r="E922" i="46"/>
  <c r="D922" i="46"/>
  <c r="C922" i="46" s="1"/>
  <c r="F921" i="46"/>
  <c r="E921" i="46"/>
  <c r="D921" i="46"/>
  <c r="C921" i="46" s="1"/>
  <c r="F920" i="46"/>
  <c r="E920" i="46"/>
  <c r="D920" i="46"/>
  <c r="C920" i="46" s="1"/>
  <c r="F919" i="46"/>
  <c r="E919" i="46"/>
  <c r="D919" i="46"/>
  <c r="C919" i="46" s="1"/>
  <c r="F918" i="46"/>
  <c r="E918" i="46"/>
  <c r="D918" i="46"/>
  <c r="C918" i="46" s="1"/>
  <c r="F917" i="46"/>
  <c r="E917" i="46"/>
  <c r="D917" i="46"/>
  <c r="C917" i="46" s="1"/>
  <c r="F916" i="46"/>
  <c r="E916" i="46"/>
  <c r="D916" i="46"/>
  <c r="C916" i="46" s="1"/>
  <c r="F915" i="46"/>
  <c r="E915" i="46"/>
  <c r="D915" i="46"/>
  <c r="C915" i="46" s="1"/>
  <c r="F914" i="46"/>
  <c r="E914" i="46"/>
  <c r="D914" i="46"/>
  <c r="C914" i="46" s="1"/>
  <c r="F913" i="46"/>
  <c r="E913" i="46"/>
  <c r="D913" i="46"/>
  <c r="C913" i="46" s="1"/>
  <c r="F912" i="46"/>
  <c r="E912" i="46"/>
  <c r="D912" i="46"/>
  <c r="C912" i="46" s="1"/>
  <c r="F911" i="46"/>
  <c r="E911" i="46"/>
  <c r="D911" i="46"/>
  <c r="C911" i="46" s="1"/>
  <c r="F910" i="46"/>
  <c r="E910" i="46"/>
  <c r="D910" i="46"/>
  <c r="C910" i="46" s="1"/>
  <c r="F909" i="46"/>
  <c r="E909" i="46"/>
  <c r="D909" i="46"/>
  <c r="C909" i="46" s="1"/>
  <c r="F908" i="46"/>
  <c r="E908" i="46"/>
  <c r="D908" i="46"/>
  <c r="C908" i="46" s="1"/>
  <c r="F907" i="46"/>
  <c r="E907" i="46"/>
  <c r="D907" i="46"/>
  <c r="C907" i="46" s="1"/>
  <c r="F906" i="46"/>
  <c r="E906" i="46"/>
  <c r="D906" i="46"/>
  <c r="C906" i="46" s="1"/>
  <c r="F905" i="46"/>
  <c r="E905" i="46"/>
  <c r="D905" i="46"/>
  <c r="C905" i="46" s="1"/>
  <c r="F904" i="46"/>
  <c r="E904" i="46"/>
  <c r="D904" i="46"/>
  <c r="C904" i="46" s="1"/>
  <c r="F903" i="46"/>
  <c r="E903" i="46"/>
  <c r="D903" i="46"/>
  <c r="C903" i="46" s="1"/>
  <c r="F902" i="46"/>
  <c r="E902" i="46"/>
  <c r="D902" i="46"/>
  <c r="C902" i="46" s="1"/>
  <c r="F901" i="46"/>
  <c r="E901" i="46"/>
  <c r="D901" i="46"/>
  <c r="C901" i="46" s="1"/>
  <c r="F900" i="46"/>
  <c r="E900" i="46"/>
  <c r="D900" i="46"/>
  <c r="C900" i="46" s="1"/>
  <c r="F899" i="46"/>
  <c r="E899" i="46"/>
  <c r="D899" i="46"/>
  <c r="C899" i="46" s="1"/>
  <c r="F898" i="46"/>
  <c r="E898" i="46"/>
  <c r="D898" i="46"/>
  <c r="C898" i="46" s="1"/>
  <c r="F897" i="46"/>
  <c r="E897" i="46"/>
  <c r="D897" i="46"/>
  <c r="C897" i="46" s="1"/>
  <c r="F896" i="46"/>
  <c r="E896" i="46"/>
  <c r="D896" i="46"/>
  <c r="C896" i="46" s="1"/>
  <c r="F895" i="46"/>
  <c r="E895" i="46"/>
  <c r="D895" i="46"/>
  <c r="C895" i="46" s="1"/>
  <c r="F894" i="46"/>
  <c r="E894" i="46"/>
  <c r="D894" i="46"/>
  <c r="C894" i="46" s="1"/>
  <c r="F893" i="46"/>
  <c r="E893" i="46"/>
  <c r="D893" i="46"/>
  <c r="C893" i="46" s="1"/>
  <c r="F892" i="46"/>
  <c r="E892" i="46"/>
  <c r="D892" i="46"/>
  <c r="C892" i="46" s="1"/>
  <c r="F891" i="46"/>
  <c r="E891" i="46"/>
  <c r="D891" i="46"/>
  <c r="C891" i="46" s="1"/>
  <c r="F890" i="46"/>
  <c r="E890" i="46"/>
  <c r="D890" i="46"/>
  <c r="C890" i="46" s="1"/>
  <c r="F889" i="46"/>
  <c r="E889" i="46"/>
  <c r="D889" i="46"/>
  <c r="C889" i="46" s="1"/>
  <c r="F888" i="46"/>
  <c r="E888" i="46"/>
  <c r="D888" i="46"/>
  <c r="C888" i="46" s="1"/>
  <c r="F887" i="46"/>
  <c r="E887" i="46"/>
  <c r="D887" i="46"/>
  <c r="C887" i="46" s="1"/>
  <c r="F886" i="46"/>
  <c r="E886" i="46"/>
  <c r="D886" i="46"/>
  <c r="C886" i="46" s="1"/>
  <c r="F885" i="46"/>
  <c r="E885" i="46"/>
  <c r="D885" i="46"/>
  <c r="C885" i="46" s="1"/>
  <c r="F884" i="46"/>
  <c r="E884" i="46"/>
  <c r="D884" i="46"/>
  <c r="C884" i="46" s="1"/>
  <c r="F883" i="46"/>
  <c r="E883" i="46"/>
  <c r="D883" i="46"/>
  <c r="C883" i="46" s="1"/>
  <c r="F882" i="46"/>
  <c r="E882" i="46"/>
  <c r="D882" i="46"/>
  <c r="C882" i="46" s="1"/>
  <c r="F881" i="46"/>
  <c r="E881" i="46"/>
  <c r="D881" i="46"/>
  <c r="C881" i="46" s="1"/>
  <c r="F880" i="46"/>
  <c r="E880" i="46"/>
  <c r="D880" i="46"/>
  <c r="C880" i="46" s="1"/>
  <c r="F879" i="46"/>
  <c r="E879" i="46"/>
  <c r="D879" i="46"/>
  <c r="C879" i="46" s="1"/>
  <c r="F878" i="46"/>
  <c r="E878" i="46"/>
  <c r="D878" i="46"/>
  <c r="C878" i="46" s="1"/>
  <c r="F877" i="46"/>
  <c r="E877" i="46"/>
  <c r="D877" i="46"/>
  <c r="C877" i="46" s="1"/>
  <c r="F876" i="46"/>
  <c r="E876" i="46"/>
  <c r="D876" i="46"/>
  <c r="C876" i="46" s="1"/>
  <c r="F875" i="46"/>
  <c r="E875" i="46"/>
  <c r="D875" i="46"/>
  <c r="C875" i="46" s="1"/>
  <c r="F874" i="46"/>
  <c r="E874" i="46"/>
  <c r="D874" i="46"/>
  <c r="C874" i="46" s="1"/>
  <c r="F873" i="46"/>
  <c r="E873" i="46"/>
  <c r="D873" i="46"/>
  <c r="C873" i="46" s="1"/>
  <c r="F872" i="46"/>
  <c r="E872" i="46"/>
  <c r="D872" i="46"/>
  <c r="C872" i="46" s="1"/>
  <c r="F871" i="46"/>
  <c r="E871" i="46"/>
  <c r="D871" i="46"/>
  <c r="C871" i="46" s="1"/>
  <c r="F870" i="46"/>
  <c r="E870" i="46"/>
  <c r="D870" i="46"/>
  <c r="C870" i="46" s="1"/>
  <c r="F869" i="46"/>
  <c r="E869" i="46"/>
  <c r="D869" i="46"/>
  <c r="C869" i="46" s="1"/>
  <c r="F868" i="46"/>
  <c r="E868" i="46"/>
  <c r="D868" i="46"/>
  <c r="C868" i="46" s="1"/>
  <c r="F867" i="46"/>
  <c r="E867" i="46"/>
  <c r="D867" i="46"/>
  <c r="C867" i="46" s="1"/>
  <c r="F866" i="46"/>
  <c r="E866" i="46"/>
  <c r="D866" i="46"/>
  <c r="C866" i="46" s="1"/>
  <c r="F865" i="46"/>
  <c r="E865" i="46"/>
  <c r="D865" i="46"/>
  <c r="C865" i="46" s="1"/>
  <c r="F864" i="46"/>
  <c r="E864" i="46"/>
  <c r="D864" i="46"/>
  <c r="C864" i="46" s="1"/>
  <c r="F863" i="46"/>
  <c r="E863" i="46"/>
  <c r="D863" i="46"/>
  <c r="C863" i="46" s="1"/>
  <c r="F862" i="46"/>
  <c r="E862" i="46"/>
  <c r="D862" i="46"/>
  <c r="C862" i="46" s="1"/>
  <c r="F861" i="46"/>
  <c r="E861" i="46"/>
  <c r="D861" i="46"/>
  <c r="C861" i="46" s="1"/>
  <c r="F860" i="46"/>
  <c r="E860" i="46"/>
  <c r="D860" i="46"/>
  <c r="C860" i="46" s="1"/>
  <c r="F859" i="46"/>
  <c r="E859" i="46"/>
  <c r="D859" i="46"/>
  <c r="C859" i="46" s="1"/>
  <c r="F858" i="46"/>
  <c r="E858" i="46"/>
  <c r="D858" i="46"/>
  <c r="C858" i="46" s="1"/>
  <c r="F857" i="46"/>
  <c r="E857" i="46"/>
  <c r="D857" i="46"/>
  <c r="C857" i="46" s="1"/>
  <c r="F856" i="46"/>
  <c r="E856" i="46"/>
  <c r="D856" i="46"/>
  <c r="C856" i="46" s="1"/>
  <c r="F855" i="46"/>
  <c r="E855" i="46"/>
  <c r="D855" i="46"/>
  <c r="C855" i="46" s="1"/>
  <c r="F854" i="46"/>
  <c r="E854" i="46"/>
  <c r="D854" i="46"/>
  <c r="C854" i="46" s="1"/>
  <c r="F853" i="46"/>
  <c r="E853" i="46"/>
  <c r="D853" i="46"/>
  <c r="C853" i="46" s="1"/>
  <c r="F852" i="46"/>
  <c r="E852" i="46"/>
  <c r="D852" i="46"/>
  <c r="C852" i="46" s="1"/>
  <c r="F851" i="46"/>
  <c r="E851" i="46"/>
  <c r="D851" i="46"/>
  <c r="C851" i="46" s="1"/>
  <c r="F850" i="46"/>
  <c r="E850" i="46"/>
  <c r="D850" i="46"/>
  <c r="C850" i="46" s="1"/>
  <c r="F849" i="46"/>
  <c r="E849" i="46"/>
  <c r="D849" i="46"/>
  <c r="C849" i="46" s="1"/>
  <c r="F848" i="46"/>
  <c r="E848" i="46"/>
  <c r="D848" i="46"/>
  <c r="C848" i="46" s="1"/>
  <c r="F847" i="46"/>
  <c r="E847" i="46"/>
  <c r="D847" i="46"/>
  <c r="C847" i="46" s="1"/>
  <c r="F846" i="46"/>
  <c r="E846" i="46"/>
  <c r="D846" i="46"/>
  <c r="C846" i="46" s="1"/>
  <c r="F845" i="46"/>
  <c r="E845" i="46"/>
  <c r="D845" i="46"/>
  <c r="C845" i="46" s="1"/>
  <c r="F844" i="46"/>
  <c r="E844" i="46"/>
  <c r="D844" i="46"/>
  <c r="C844" i="46" s="1"/>
  <c r="F843" i="46"/>
  <c r="E843" i="46"/>
  <c r="D843" i="46"/>
  <c r="C843" i="46" s="1"/>
  <c r="F842" i="46"/>
  <c r="E842" i="46"/>
  <c r="D842" i="46"/>
  <c r="C842" i="46" s="1"/>
  <c r="F841" i="46"/>
  <c r="E841" i="46"/>
  <c r="D841" i="46"/>
  <c r="C841" i="46" s="1"/>
  <c r="F840" i="46"/>
  <c r="E840" i="46"/>
  <c r="D840" i="46"/>
  <c r="C840" i="46" s="1"/>
  <c r="F839" i="46"/>
  <c r="E839" i="46"/>
  <c r="D839" i="46"/>
  <c r="C839" i="46" s="1"/>
  <c r="F838" i="46"/>
  <c r="E838" i="46"/>
  <c r="D838" i="46"/>
  <c r="C838" i="46" s="1"/>
  <c r="F837" i="46"/>
  <c r="E837" i="46"/>
  <c r="D837" i="46"/>
  <c r="C837" i="46" s="1"/>
  <c r="F836" i="46"/>
  <c r="E836" i="46"/>
  <c r="D836" i="46"/>
  <c r="C836" i="46" s="1"/>
  <c r="F835" i="46"/>
  <c r="E835" i="46"/>
  <c r="D835" i="46"/>
  <c r="C835" i="46" s="1"/>
  <c r="F834" i="46"/>
  <c r="E834" i="46"/>
  <c r="D834" i="46"/>
  <c r="C834" i="46" s="1"/>
  <c r="F833" i="46"/>
  <c r="E833" i="46"/>
  <c r="D833" i="46"/>
  <c r="C833" i="46" s="1"/>
  <c r="F832" i="46"/>
  <c r="E832" i="46"/>
  <c r="D832" i="46"/>
  <c r="C832" i="46" s="1"/>
  <c r="F831" i="46"/>
  <c r="E831" i="46"/>
  <c r="D831" i="46"/>
  <c r="C831" i="46" s="1"/>
  <c r="F830" i="46"/>
  <c r="E830" i="46"/>
  <c r="D830" i="46"/>
  <c r="C830" i="46" s="1"/>
  <c r="F829" i="46"/>
  <c r="E829" i="46"/>
  <c r="D829" i="46"/>
  <c r="C829" i="46" s="1"/>
  <c r="F828" i="46"/>
  <c r="E828" i="46"/>
  <c r="D828" i="46"/>
  <c r="C828" i="46" s="1"/>
  <c r="F827" i="46"/>
  <c r="E827" i="46"/>
  <c r="D827" i="46"/>
  <c r="C827" i="46" s="1"/>
  <c r="F826" i="46"/>
  <c r="E826" i="46"/>
  <c r="D826" i="46"/>
  <c r="C826" i="46" s="1"/>
  <c r="F825" i="46"/>
  <c r="E825" i="46"/>
  <c r="D825" i="46"/>
  <c r="C825" i="46" s="1"/>
  <c r="F824" i="46"/>
  <c r="E824" i="46"/>
  <c r="D824" i="46"/>
  <c r="C824" i="46" s="1"/>
  <c r="F823" i="46"/>
  <c r="E823" i="46"/>
  <c r="D823" i="46"/>
  <c r="C823" i="46" s="1"/>
  <c r="F822" i="46"/>
  <c r="E822" i="46"/>
  <c r="D822" i="46"/>
  <c r="C822" i="46" s="1"/>
  <c r="F821" i="46"/>
  <c r="E821" i="46"/>
  <c r="D821" i="46"/>
  <c r="C821" i="46" s="1"/>
  <c r="F820" i="46"/>
  <c r="E820" i="46"/>
  <c r="D820" i="46"/>
  <c r="C820" i="46" s="1"/>
  <c r="F819" i="46"/>
  <c r="E819" i="46"/>
  <c r="D819" i="46"/>
  <c r="C819" i="46" s="1"/>
  <c r="F818" i="46"/>
  <c r="E818" i="46"/>
  <c r="D818" i="46"/>
  <c r="C818" i="46" s="1"/>
  <c r="F817" i="46"/>
  <c r="E817" i="46"/>
  <c r="D817" i="46"/>
  <c r="C817" i="46" s="1"/>
  <c r="F816" i="46"/>
  <c r="E816" i="46"/>
  <c r="D816" i="46"/>
  <c r="C816" i="46" s="1"/>
  <c r="F815" i="46"/>
  <c r="E815" i="46"/>
  <c r="D815" i="46"/>
  <c r="C815" i="46" s="1"/>
  <c r="F814" i="46"/>
  <c r="E814" i="46"/>
  <c r="D814" i="46"/>
  <c r="C814" i="46" s="1"/>
  <c r="F813" i="46"/>
  <c r="E813" i="46"/>
  <c r="D813" i="46"/>
  <c r="C813" i="46" s="1"/>
  <c r="F812" i="46"/>
  <c r="E812" i="46"/>
  <c r="D812" i="46"/>
  <c r="C812" i="46" s="1"/>
  <c r="F811" i="46"/>
  <c r="E811" i="46"/>
  <c r="D811" i="46"/>
  <c r="C811" i="46" s="1"/>
  <c r="F810" i="46"/>
  <c r="E810" i="46"/>
  <c r="D810" i="46"/>
  <c r="C810" i="46" s="1"/>
  <c r="F809" i="46"/>
  <c r="E809" i="46"/>
  <c r="D809" i="46"/>
  <c r="C809" i="46" s="1"/>
  <c r="F808" i="46"/>
  <c r="E808" i="46"/>
  <c r="D808" i="46"/>
  <c r="C808" i="46" s="1"/>
  <c r="F807" i="46"/>
  <c r="E807" i="46"/>
  <c r="D807" i="46"/>
  <c r="C807" i="46" s="1"/>
  <c r="F806" i="46"/>
  <c r="E806" i="46"/>
  <c r="D806" i="46"/>
  <c r="C806" i="46" s="1"/>
  <c r="F805" i="46"/>
  <c r="E805" i="46"/>
  <c r="D805" i="46"/>
  <c r="C805" i="46" s="1"/>
  <c r="F804" i="46"/>
  <c r="E804" i="46"/>
  <c r="D804" i="46"/>
  <c r="C804" i="46" s="1"/>
  <c r="F803" i="46"/>
  <c r="E803" i="46"/>
  <c r="D803" i="46"/>
  <c r="C803" i="46" s="1"/>
  <c r="F802" i="46"/>
  <c r="E802" i="46"/>
  <c r="D802" i="46"/>
  <c r="C802" i="46" s="1"/>
  <c r="F801" i="46"/>
  <c r="E801" i="46"/>
  <c r="D801" i="46"/>
  <c r="C801" i="46" s="1"/>
  <c r="F800" i="46"/>
  <c r="E800" i="46"/>
  <c r="D800" i="46"/>
  <c r="C800" i="46" s="1"/>
  <c r="F799" i="46"/>
  <c r="E799" i="46"/>
  <c r="D799" i="46"/>
  <c r="C799" i="46" s="1"/>
  <c r="F798" i="46"/>
  <c r="E798" i="46"/>
  <c r="D798" i="46"/>
  <c r="C798" i="46" s="1"/>
  <c r="F797" i="46"/>
  <c r="E797" i="46"/>
  <c r="D797" i="46"/>
  <c r="C797" i="46" s="1"/>
  <c r="F796" i="46"/>
  <c r="E796" i="46"/>
  <c r="D796" i="46"/>
  <c r="C796" i="46" s="1"/>
  <c r="F795" i="46"/>
  <c r="E795" i="46"/>
  <c r="D795" i="46"/>
  <c r="C795" i="46" s="1"/>
  <c r="F794" i="46"/>
  <c r="E794" i="46"/>
  <c r="D794" i="46"/>
  <c r="C794" i="46" s="1"/>
  <c r="F793" i="46"/>
  <c r="E793" i="46"/>
  <c r="D793" i="46"/>
  <c r="C793" i="46" s="1"/>
  <c r="F792" i="46"/>
  <c r="E792" i="46"/>
  <c r="D792" i="46"/>
  <c r="C792" i="46" s="1"/>
  <c r="F791" i="46"/>
  <c r="E791" i="46"/>
  <c r="D791" i="46"/>
  <c r="C791" i="46" s="1"/>
  <c r="F790" i="46"/>
  <c r="E790" i="46"/>
  <c r="D790" i="46"/>
  <c r="C790" i="46" s="1"/>
  <c r="F789" i="46"/>
  <c r="E789" i="46"/>
  <c r="D789" i="46"/>
  <c r="C789" i="46" s="1"/>
  <c r="F788" i="46"/>
  <c r="E788" i="46"/>
  <c r="D788" i="46"/>
  <c r="C788" i="46" s="1"/>
  <c r="F787" i="46"/>
  <c r="E787" i="46"/>
  <c r="D787" i="46"/>
  <c r="C787" i="46" s="1"/>
  <c r="F786" i="46"/>
  <c r="E786" i="46"/>
  <c r="D786" i="46"/>
  <c r="C786" i="46" s="1"/>
  <c r="F785" i="46"/>
  <c r="E785" i="46"/>
  <c r="D785" i="46"/>
  <c r="C785" i="46" s="1"/>
  <c r="F784" i="46"/>
  <c r="E784" i="46"/>
  <c r="D784" i="46"/>
  <c r="C784" i="46" s="1"/>
  <c r="F783" i="46"/>
  <c r="E783" i="46"/>
  <c r="D783" i="46"/>
  <c r="C783" i="46" s="1"/>
  <c r="F782" i="46"/>
  <c r="E782" i="46"/>
  <c r="D782" i="46"/>
  <c r="C782" i="46" s="1"/>
  <c r="F781" i="46"/>
  <c r="E781" i="46"/>
  <c r="D781" i="46"/>
  <c r="C781" i="46" s="1"/>
  <c r="F780" i="46"/>
  <c r="E780" i="46"/>
  <c r="D780" i="46"/>
  <c r="C780" i="46" s="1"/>
  <c r="F779" i="46"/>
  <c r="E779" i="46"/>
  <c r="D779" i="46"/>
  <c r="C779" i="46" s="1"/>
  <c r="F778" i="46"/>
  <c r="E778" i="46"/>
  <c r="D778" i="46"/>
  <c r="C778" i="46" s="1"/>
  <c r="F777" i="46"/>
  <c r="E777" i="46"/>
  <c r="D777" i="46"/>
  <c r="C777" i="46" s="1"/>
  <c r="F776" i="46"/>
  <c r="E776" i="46"/>
  <c r="D776" i="46"/>
  <c r="C776" i="46" s="1"/>
  <c r="F775" i="46"/>
  <c r="E775" i="46"/>
  <c r="D775" i="46"/>
  <c r="C775" i="46" s="1"/>
  <c r="F774" i="46"/>
  <c r="E774" i="46"/>
  <c r="D774" i="46"/>
  <c r="C774" i="46" s="1"/>
  <c r="F773" i="46"/>
  <c r="E773" i="46"/>
  <c r="D773" i="46"/>
  <c r="C773" i="46" s="1"/>
  <c r="F772" i="46"/>
  <c r="E772" i="46"/>
  <c r="D772" i="46"/>
  <c r="C772" i="46" s="1"/>
  <c r="F771" i="46"/>
  <c r="E771" i="46"/>
  <c r="D771" i="46"/>
  <c r="C771" i="46" s="1"/>
  <c r="F770" i="46"/>
  <c r="E770" i="46"/>
  <c r="D770" i="46"/>
  <c r="C770" i="46" s="1"/>
  <c r="F769" i="46"/>
  <c r="E769" i="46"/>
  <c r="D769" i="46"/>
  <c r="C769" i="46" s="1"/>
  <c r="F768" i="46"/>
  <c r="E768" i="46"/>
  <c r="D768" i="46"/>
  <c r="C768" i="46" s="1"/>
  <c r="F767" i="46"/>
  <c r="E767" i="46"/>
  <c r="D767" i="46"/>
  <c r="C767" i="46" s="1"/>
  <c r="F766" i="46"/>
  <c r="E766" i="46"/>
  <c r="D766" i="46"/>
  <c r="C766" i="46" s="1"/>
  <c r="F765" i="46"/>
  <c r="E765" i="46"/>
  <c r="D765" i="46"/>
  <c r="C765" i="46" s="1"/>
  <c r="F764" i="46"/>
  <c r="E764" i="46"/>
  <c r="D764" i="46"/>
  <c r="C764" i="46" s="1"/>
  <c r="F763" i="46"/>
  <c r="E763" i="46"/>
  <c r="D763" i="46"/>
  <c r="C763" i="46" s="1"/>
  <c r="F762" i="46"/>
  <c r="E762" i="46"/>
  <c r="D762" i="46"/>
  <c r="C762" i="46" s="1"/>
  <c r="F761" i="46"/>
  <c r="E761" i="46"/>
  <c r="D761" i="46"/>
  <c r="C761" i="46" s="1"/>
  <c r="F760" i="46"/>
  <c r="E760" i="46"/>
  <c r="D760" i="46"/>
  <c r="C760" i="46" s="1"/>
  <c r="F759" i="46"/>
  <c r="E759" i="46"/>
  <c r="D759" i="46"/>
  <c r="C759" i="46" s="1"/>
  <c r="F758" i="46"/>
  <c r="E758" i="46"/>
  <c r="D758" i="46"/>
  <c r="C758" i="46" s="1"/>
  <c r="F757" i="46"/>
  <c r="E757" i="46"/>
  <c r="D757" i="46"/>
  <c r="C757" i="46" s="1"/>
  <c r="F756" i="46"/>
  <c r="E756" i="46"/>
  <c r="D756" i="46"/>
  <c r="C756" i="46" s="1"/>
  <c r="F755" i="46"/>
  <c r="E755" i="46"/>
  <c r="D755" i="46"/>
  <c r="C755" i="46" s="1"/>
  <c r="F754" i="46"/>
  <c r="E754" i="46"/>
  <c r="D754" i="46"/>
  <c r="C754" i="46" s="1"/>
  <c r="F753" i="46"/>
  <c r="E753" i="46"/>
  <c r="D753" i="46"/>
  <c r="C753" i="46" s="1"/>
  <c r="F752" i="46"/>
  <c r="E752" i="46"/>
  <c r="D752" i="46"/>
  <c r="C752" i="46" s="1"/>
  <c r="F751" i="46"/>
  <c r="E751" i="46"/>
  <c r="D751" i="46"/>
  <c r="C751" i="46" s="1"/>
  <c r="F750" i="46"/>
  <c r="E750" i="46"/>
  <c r="D750" i="46"/>
  <c r="C750" i="46" s="1"/>
  <c r="F749" i="46"/>
  <c r="E749" i="46"/>
  <c r="D749" i="46"/>
  <c r="C749" i="46" s="1"/>
  <c r="F748" i="46"/>
  <c r="E748" i="46"/>
  <c r="D748" i="46"/>
  <c r="C748" i="46" s="1"/>
  <c r="F747" i="46"/>
  <c r="E747" i="46"/>
  <c r="D747" i="46"/>
  <c r="C747" i="46" s="1"/>
  <c r="F746" i="46"/>
  <c r="E746" i="46"/>
  <c r="D746" i="46"/>
  <c r="C746" i="46" s="1"/>
  <c r="F745" i="46"/>
  <c r="E745" i="46"/>
  <c r="D745" i="46"/>
  <c r="C745" i="46" s="1"/>
  <c r="F744" i="46"/>
  <c r="E744" i="46"/>
  <c r="D744" i="46"/>
  <c r="C744" i="46" s="1"/>
  <c r="F743" i="46"/>
  <c r="E743" i="46"/>
  <c r="D743" i="46"/>
  <c r="C743" i="46" s="1"/>
  <c r="F742" i="46"/>
  <c r="E742" i="46"/>
  <c r="D742" i="46"/>
  <c r="C742" i="46" s="1"/>
  <c r="F741" i="46"/>
  <c r="E741" i="46"/>
  <c r="D741" i="46"/>
  <c r="C741" i="46" s="1"/>
  <c r="F740" i="46"/>
  <c r="E740" i="46"/>
  <c r="D740" i="46"/>
  <c r="C740" i="46" s="1"/>
  <c r="F739" i="46"/>
  <c r="E739" i="46"/>
  <c r="D739" i="46"/>
  <c r="C739" i="46" s="1"/>
  <c r="F738" i="46"/>
  <c r="E738" i="46"/>
  <c r="D738" i="46"/>
  <c r="C738" i="46" s="1"/>
  <c r="F737" i="46"/>
  <c r="E737" i="46"/>
  <c r="D737" i="46"/>
  <c r="C737" i="46" s="1"/>
  <c r="F736" i="46"/>
  <c r="E736" i="46"/>
  <c r="D736" i="46"/>
  <c r="C736" i="46" s="1"/>
  <c r="F735" i="46"/>
  <c r="E735" i="46"/>
  <c r="D735" i="46"/>
  <c r="C735" i="46" s="1"/>
  <c r="F734" i="46"/>
  <c r="E734" i="46"/>
  <c r="D734" i="46"/>
  <c r="C734" i="46" s="1"/>
  <c r="F733" i="46"/>
  <c r="E733" i="46"/>
  <c r="D733" i="46"/>
  <c r="C733" i="46" s="1"/>
  <c r="F732" i="46"/>
  <c r="E732" i="46"/>
  <c r="D732" i="46"/>
  <c r="C732" i="46" s="1"/>
  <c r="F731" i="46"/>
  <c r="E731" i="46"/>
  <c r="D731" i="46"/>
  <c r="C731" i="46" s="1"/>
  <c r="F730" i="46"/>
  <c r="E730" i="46"/>
  <c r="D730" i="46"/>
  <c r="C730" i="46" s="1"/>
  <c r="F729" i="46"/>
  <c r="E729" i="46"/>
  <c r="D729" i="46"/>
  <c r="C729" i="46" s="1"/>
  <c r="F728" i="46"/>
  <c r="E728" i="46"/>
  <c r="D728" i="46"/>
  <c r="C728" i="46" s="1"/>
  <c r="F727" i="46"/>
  <c r="E727" i="46"/>
  <c r="D727" i="46"/>
  <c r="C727" i="46" s="1"/>
  <c r="F726" i="46"/>
  <c r="E726" i="46"/>
  <c r="D726" i="46"/>
  <c r="C726" i="46" s="1"/>
  <c r="F725" i="46"/>
  <c r="E725" i="46"/>
  <c r="D725" i="46"/>
  <c r="C725" i="46" s="1"/>
  <c r="F724" i="46"/>
  <c r="E724" i="46"/>
  <c r="D724" i="46"/>
  <c r="C724" i="46" s="1"/>
  <c r="F723" i="46"/>
  <c r="E723" i="46"/>
  <c r="D723" i="46"/>
  <c r="C723" i="46" s="1"/>
  <c r="F722" i="46"/>
  <c r="E722" i="46"/>
  <c r="D722" i="46"/>
  <c r="C722" i="46" s="1"/>
  <c r="F721" i="46"/>
  <c r="E721" i="46"/>
  <c r="D721" i="46"/>
  <c r="C721" i="46" s="1"/>
  <c r="F720" i="46"/>
  <c r="E720" i="46"/>
  <c r="D720" i="46"/>
  <c r="C720" i="46" s="1"/>
  <c r="F719" i="46"/>
  <c r="E719" i="46"/>
  <c r="D719" i="46"/>
  <c r="C719" i="46" s="1"/>
  <c r="F718" i="46"/>
  <c r="E718" i="46"/>
  <c r="D718" i="46"/>
  <c r="C718" i="46" s="1"/>
  <c r="F717" i="46"/>
  <c r="E717" i="46"/>
  <c r="D717" i="46"/>
  <c r="C717" i="46" s="1"/>
  <c r="F716" i="46"/>
  <c r="E716" i="46"/>
  <c r="D716" i="46"/>
  <c r="C716" i="46" s="1"/>
  <c r="F715" i="46"/>
  <c r="E715" i="46"/>
  <c r="D715" i="46"/>
  <c r="C715" i="46" s="1"/>
  <c r="F714" i="46"/>
  <c r="E714" i="46"/>
  <c r="D714" i="46"/>
  <c r="C714" i="46" s="1"/>
  <c r="F713" i="46"/>
  <c r="E713" i="46"/>
  <c r="D713" i="46"/>
  <c r="C713" i="46" s="1"/>
  <c r="F712" i="46"/>
  <c r="E712" i="46"/>
  <c r="D712" i="46"/>
  <c r="C712" i="46" s="1"/>
  <c r="F711" i="46"/>
  <c r="E711" i="46"/>
  <c r="D711" i="46"/>
  <c r="C711" i="46" s="1"/>
  <c r="F710" i="46"/>
  <c r="E710" i="46"/>
  <c r="D710" i="46"/>
  <c r="C710" i="46" s="1"/>
  <c r="F709" i="46"/>
  <c r="E709" i="46"/>
  <c r="D709" i="46"/>
  <c r="C709" i="46" s="1"/>
  <c r="F708" i="46"/>
  <c r="E708" i="46"/>
  <c r="D708" i="46"/>
  <c r="C708" i="46" s="1"/>
  <c r="F707" i="46"/>
  <c r="E707" i="46"/>
  <c r="D707" i="46"/>
  <c r="C707" i="46" s="1"/>
  <c r="F706" i="46"/>
  <c r="E706" i="46"/>
  <c r="D706" i="46"/>
  <c r="C706" i="46" s="1"/>
  <c r="F705" i="46"/>
  <c r="E705" i="46"/>
  <c r="D705" i="46"/>
  <c r="C705" i="46" s="1"/>
  <c r="F704" i="46"/>
  <c r="E704" i="46"/>
  <c r="D704" i="46"/>
  <c r="C704" i="46" s="1"/>
  <c r="F703" i="46"/>
  <c r="E703" i="46"/>
  <c r="D703" i="46"/>
  <c r="C703" i="46" s="1"/>
  <c r="F702" i="46"/>
  <c r="E702" i="46"/>
  <c r="D702" i="46"/>
  <c r="C702" i="46" s="1"/>
  <c r="F701" i="46"/>
  <c r="E701" i="46"/>
  <c r="D701" i="46"/>
  <c r="C701" i="46" s="1"/>
  <c r="F700" i="46"/>
  <c r="E700" i="46"/>
  <c r="D700" i="46"/>
  <c r="C700" i="46" s="1"/>
  <c r="F699" i="46"/>
  <c r="E699" i="46"/>
  <c r="D699" i="46"/>
  <c r="C699" i="46" s="1"/>
  <c r="F698" i="46"/>
  <c r="E698" i="46"/>
  <c r="D698" i="46"/>
  <c r="C698" i="46" s="1"/>
  <c r="F697" i="46"/>
  <c r="E697" i="46"/>
  <c r="D697" i="46"/>
  <c r="C697" i="46" s="1"/>
  <c r="F696" i="46"/>
  <c r="E696" i="46"/>
  <c r="D696" i="46"/>
  <c r="C696" i="46" s="1"/>
  <c r="F695" i="46"/>
  <c r="E695" i="46"/>
  <c r="D695" i="46"/>
  <c r="C695" i="46" s="1"/>
  <c r="F694" i="46"/>
  <c r="E694" i="46"/>
  <c r="D694" i="46"/>
  <c r="C694" i="46" s="1"/>
  <c r="F693" i="46"/>
  <c r="E693" i="46"/>
  <c r="D693" i="46"/>
  <c r="C693" i="46" s="1"/>
  <c r="F692" i="46"/>
  <c r="E692" i="46"/>
  <c r="D692" i="46"/>
  <c r="C692" i="46" s="1"/>
  <c r="F691" i="46"/>
  <c r="E691" i="46"/>
  <c r="D691" i="46"/>
  <c r="C691" i="46" s="1"/>
  <c r="F690" i="46"/>
  <c r="E690" i="46"/>
  <c r="D690" i="46"/>
  <c r="C690" i="46" s="1"/>
  <c r="F689" i="46"/>
  <c r="E689" i="46"/>
  <c r="D689" i="46"/>
  <c r="C689" i="46" s="1"/>
  <c r="F688" i="46"/>
  <c r="E688" i="46"/>
  <c r="D688" i="46"/>
  <c r="C688" i="46" s="1"/>
  <c r="F687" i="46"/>
  <c r="E687" i="46"/>
  <c r="D687" i="46"/>
  <c r="C687" i="46" s="1"/>
  <c r="F686" i="46"/>
  <c r="E686" i="46"/>
  <c r="D686" i="46"/>
  <c r="C686" i="46" s="1"/>
  <c r="F685" i="46"/>
  <c r="E685" i="46"/>
  <c r="D685" i="46"/>
  <c r="C685" i="46" s="1"/>
  <c r="F684" i="46"/>
  <c r="E684" i="46"/>
  <c r="D684" i="46"/>
  <c r="C684" i="46" s="1"/>
  <c r="F683" i="46"/>
  <c r="E683" i="46"/>
  <c r="D683" i="46"/>
  <c r="C683" i="46" s="1"/>
  <c r="F682" i="46"/>
  <c r="E682" i="46"/>
  <c r="D682" i="46"/>
  <c r="C682" i="46" s="1"/>
  <c r="F681" i="46"/>
  <c r="E681" i="46"/>
  <c r="D681" i="46"/>
  <c r="C681" i="46" s="1"/>
  <c r="F680" i="46"/>
  <c r="E680" i="46"/>
  <c r="D680" i="46"/>
  <c r="C680" i="46" s="1"/>
  <c r="F679" i="46"/>
  <c r="E679" i="46"/>
  <c r="D679" i="46"/>
  <c r="C679" i="46" s="1"/>
  <c r="F678" i="46"/>
  <c r="E678" i="46"/>
  <c r="D678" i="46"/>
  <c r="C678" i="46" s="1"/>
  <c r="F677" i="46"/>
  <c r="E677" i="46"/>
  <c r="D677" i="46"/>
  <c r="C677" i="46" s="1"/>
  <c r="F676" i="46"/>
  <c r="E676" i="46"/>
  <c r="D676" i="46"/>
  <c r="C676" i="46" s="1"/>
  <c r="F675" i="46"/>
  <c r="E675" i="46"/>
  <c r="D675" i="46"/>
  <c r="C675" i="46" s="1"/>
  <c r="F674" i="46"/>
  <c r="E674" i="46"/>
  <c r="D674" i="46"/>
  <c r="C674" i="46" s="1"/>
  <c r="F673" i="46"/>
  <c r="E673" i="46"/>
  <c r="D673" i="46"/>
  <c r="C673" i="46" s="1"/>
  <c r="F672" i="46"/>
  <c r="E672" i="46"/>
  <c r="D672" i="46"/>
  <c r="C672" i="46" s="1"/>
  <c r="F671" i="46"/>
  <c r="E671" i="46"/>
  <c r="D671" i="46"/>
  <c r="C671" i="46" s="1"/>
  <c r="F670" i="46"/>
  <c r="E670" i="46"/>
  <c r="D670" i="46"/>
  <c r="C670" i="46" s="1"/>
  <c r="F669" i="46"/>
  <c r="E669" i="46"/>
  <c r="D669" i="46"/>
  <c r="C669" i="46" s="1"/>
  <c r="F668" i="46"/>
  <c r="E668" i="46"/>
  <c r="D668" i="46"/>
  <c r="C668" i="46" s="1"/>
  <c r="F667" i="46"/>
  <c r="E667" i="46"/>
  <c r="D667" i="46"/>
  <c r="C667" i="46" s="1"/>
  <c r="F666" i="46"/>
  <c r="E666" i="46"/>
  <c r="D666" i="46"/>
  <c r="C666" i="46" s="1"/>
  <c r="F665" i="46"/>
  <c r="E665" i="46"/>
  <c r="D665" i="46"/>
  <c r="C665" i="46" s="1"/>
  <c r="F664" i="46"/>
  <c r="E664" i="46"/>
  <c r="D664" i="46"/>
  <c r="C664" i="46" s="1"/>
  <c r="F663" i="46"/>
  <c r="E663" i="46"/>
  <c r="D663" i="46"/>
  <c r="C663" i="46" s="1"/>
  <c r="F662" i="46"/>
  <c r="E662" i="46"/>
  <c r="D662" i="46"/>
  <c r="C662" i="46" s="1"/>
  <c r="F661" i="46"/>
  <c r="E661" i="46"/>
  <c r="D661" i="46"/>
  <c r="C661" i="46" s="1"/>
  <c r="F660" i="46"/>
  <c r="E660" i="46"/>
  <c r="D660" i="46"/>
  <c r="C660" i="46" s="1"/>
  <c r="F659" i="46"/>
  <c r="E659" i="46"/>
  <c r="D659" i="46"/>
  <c r="C659" i="46" s="1"/>
  <c r="F658" i="46"/>
  <c r="E658" i="46"/>
  <c r="D658" i="46"/>
  <c r="C658" i="46" s="1"/>
  <c r="F657" i="46"/>
  <c r="E657" i="46"/>
  <c r="D657" i="46"/>
  <c r="C657" i="46" s="1"/>
  <c r="F656" i="46"/>
  <c r="E656" i="46"/>
  <c r="D656" i="46"/>
  <c r="C656" i="46" s="1"/>
  <c r="F655" i="46"/>
  <c r="E655" i="46"/>
  <c r="D655" i="46"/>
  <c r="C655" i="46" s="1"/>
  <c r="F654" i="46"/>
  <c r="E654" i="46"/>
  <c r="D654" i="46"/>
  <c r="C654" i="46" s="1"/>
  <c r="F653" i="46"/>
  <c r="E653" i="46"/>
  <c r="D653" i="46"/>
  <c r="C653" i="46" s="1"/>
  <c r="F652" i="46"/>
  <c r="E652" i="46"/>
  <c r="D652" i="46"/>
  <c r="C652" i="46" s="1"/>
  <c r="F651" i="46"/>
  <c r="E651" i="46"/>
  <c r="D651" i="46"/>
  <c r="C651" i="46" s="1"/>
  <c r="F650" i="46"/>
  <c r="E650" i="46"/>
  <c r="D650" i="46"/>
  <c r="C650" i="46" s="1"/>
  <c r="F649" i="46"/>
  <c r="E649" i="46"/>
  <c r="D649" i="46"/>
  <c r="C649" i="46" s="1"/>
  <c r="F648" i="46"/>
  <c r="E648" i="46"/>
  <c r="D648" i="46"/>
  <c r="C648" i="46" s="1"/>
  <c r="F647" i="46"/>
  <c r="E647" i="46"/>
  <c r="D647" i="46"/>
  <c r="C647" i="46" s="1"/>
  <c r="F646" i="46"/>
  <c r="E646" i="46"/>
  <c r="D646" i="46"/>
  <c r="C646" i="46" s="1"/>
  <c r="F645" i="46"/>
  <c r="E645" i="46"/>
  <c r="D645" i="46"/>
  <c r="C645" i="46" s="1"/>
  <c r="F644" i="46"/>
  <c r="E644" i="46"/>
  <c r="D644" i="46"/>
  <c r="C644" i="46" s="1"/>
  <c r="F643" i="46"/>
  <c r="E643" i="46"/>
  <c r="D643" i="46"/>
  <c r="C643" i="46" s="1"/>
  <c r="F642" i="46"/>
  <c r="E642" i="46"/>
  <c r="D642" i="46"/>
  <c r="C642" i="46" s="1"/>
  <c r="F641" i="46"/>
  <c r="E641" i="46"/>
  <c r="D641" i="46"/>
  <c r="C641" i="46" s="1"/>
  <c r="F640" i="46"/>
  <c r="E640" i="46"/>
  <c r="D640" i="46"/>
  <c r="C640" i="46" s="1"/>
  <c r="F639" i="46"/>
  <c r="E639" i="46"/>
  <c r="D639" i="46"/>
  <c r="C639" i="46" s="1"/>
  <c r="F638" i="46"/>
  <c r="E638" i="46"/>
  <c r="D638" i="46"/>
  <c r="C638" i="46" s="1"/>
  <c r="F637" i="46"/>
  <c r="E637" i="46"/>
  <c r="D637" i="46"/>
  <c r="C637" i="46" s="1"/>
  <c r="F636" i="46"/>
  <c r="E636" i="46"/>
  <c r="D636" i="46"/>
  <c r="C636" i="46" s="1"/>
  <c r="F635" i="46"/>
  <c r="E635" i="46"/>
  <c r="D635" i="46"/>
  <c r="C635" i="46" s="1"/>
  <c r="F634" i="46"/>
  <c r="E634" i="46"/>
  <c r="D634" i="46"/>
  <c r="C634" i="46" s="1"/>
  <c r="F633" i="46"/>
  <c r="E633" i="46"/>
  <c r="D633" i="46"/>
  <c r="C633" i="46" s="1"/>
  <c r="F632" i="46"/>
  <c r="E632" i="46"/>
  <c r="D632" i="46"/>
  <c r="C632" i="46" s="1"/>
  <c r="F631" i="46"/>
  <c r="E631" i="46"/>
  <c r="D631" i="46"/>
  <c r="C631" i="46" s="1"/>
  <c r="F630" i="46"/>
  <c r="E630" i="46"/>
  <c r="D630" i="46"/>
  <c r="C630" i="46" s="1"/>
  <c r="F629" i="46"/>
  <c r="E629" i="46"/>
  <c r="D629" i="46"/>
  <c r="C629" i="46" s="1"/>
  <c r="F628" i="46"/>
  <c r="E628" i="46"/>
  <c r="D628" i="46"/>
  <c r="C628" i="46" s="1"/>
  <c r="F627" i="46"/>
  <c r="E627" i="46"/>
  <c r="D627" i="46"/>
  <c r="C627" i="46" s="1"/>
  <c r="F626" i="46"/>
  <c r="E626" i="46"/>
  <c r="D626" i="46"/>
  <c r="C626" i="46" s="1"/>
  <c r="F625" i="46"/>
  <c r="E625" i="46"/>
  <c r="D625" i="46"/>
  <c r="C625" i="46" s="1"/>
  <c r="F624" i="46"/>
  <c r="E624" i="46"/>
  <c r="D624" i="46"/>
  <c r="C624" i="46" s="1"/>
  <c r="F623" i="46"/>
  <c r="E623" i="46"/>
  <c r="D623" i="46"/>
  <c r="C623" i="46" s="1"/>
  <c r="F622" i="46"/>
  <c r="E622" i="46"/>
  <c r="D622" i="46"/>
  <c r="C622" i="46" s="1"/>
  <c r="F621" i="46"/>
  <c r="E621" i="46"/>
  <c r="D621" i="46"/>
  <c r="C621" i="46" s="1"/>
  <c r="F620" i="46"/>
  <c r="E620" i="46"/>
  <c r="D620" i="46"/>
  <c r="C620" i="46" s="1"/>
  <c r="F619" i="46"/>
  <c r="E619" i="46"/>
  <c r="D619" i="46"/>
  <c r="C619" i="46" s="1"/>
  <c r="F618" i="46"/>
  <c r="E618" i="46"/>
  <c r="D618" i="46"/>
  <c r="C618" i="46" s="1"/>
  <c r="F617" i="46"/>
  <c r="E617" i="46"/>
  <c r="D617" i="46"/>
  <c r="C617" i="46" s="1"/>
  <c r="F616" i="46"/>
  <c r="E616" i="46"/>
  <c r="D616" i="46"/>
  <c r="C616" i="46" s="1"/>
  <c r="F615" i="46"/>
  <c r="E615" i="46"/>
  <c r="D615" i="46"/>
  <c r="C615" i="46" s="1"/>
  <c r="F614" i="46"/>
  <c r="E614" i="46"/>
  <c r="D614" i="46"/>
  <c r="C614" i="46" s="1"/>
  <c r="F613" i="46"/>
  <c r="E613" i="46"/>
  <c r="D613" i="46"/>
  <c r="C613" i="46" s="1"/>
  <c r="F612" i="46"/>
  <c r="E612" i="46"/>
  <c r="D612" i="46"/>
  <c r="C612" i="46" s="1"/>
  <c r="F611" i="46"/>
  <c r="E611" i="46"/>
  <c r="D611" i="46"/>
  <c r="C611" i="46" s="1"/>
  <c r="F610" i="46"/>
  <c r="E610" i="46"/>
  <c r="D610" i="46"/>
  <c r="C610" i="46" s="1"/>
  <c r="F609" i="46"/>
  <c r="E609" i="46"/>
  <c r="D609" i="46"/>
  <c r="C609" i="46" s="1"/>
  <c r="F608" i="46"/>
  <c r="E608" i="46"/>
  <c r="D608" i="46"/>
  <c r="C608" i="46" s="1"/>
  <c r="F607" i="46"/>
  <c r="E607" i="46"/>
  <c r="D607" i="46"/>
  <c r="C607" i="46" s="1"/>
  <c r="F606" i="46"/>
  <c r="E606" i="46"/>
  <c r="D606" i="46"/>
  <c r="C606" i="46" s="1"/>
  <c r="F605" i="46"/>
  <c r="E605" i="46"/>
  <c r="D605" i="46"/>
  <c r="C605" i="46" s="1"/>
  <c r="F604" i="46"/>
  <c r="E604" i="46"/>
  <c r="D604" i="46"/>
  <c r="C604" i="46" s="1"/>
  <c r="F603" i="46"/>
  <c r="E603" i="46"/>
  <c r="D603" i="46"/>
  <c r="C603" i="46" s="1"/>
  <c r="F602" i="46"/>
  <c r="E602" i="46"/>
  <c r="D602" i="46"/>
  <c r="C602" i="46" s="1"/>
  <c r="F601" i="46"/>
  <c r="E601" i="46"/>
  <c r="D601" i="46"/>
  <c r="C601" i="46" s="1"/>
  <c r="F600" i="46"/>
  <c r="E600" i="46"/>
  <c r="D600" i="46"/>
  <c r="C600" i="46" s="1"/>
  <c r="F599" i="46"/>
  <c r="E599" i="46"/>
  <c r="D599" i="46"/>
  <c r="C599" i="46" s="1"/>
  <c r="F598" i="46"/>
  <c r="E598" i="46"/>
  <c r="D598" i="46"/>
  <c r="C598" i="46" s="1"/>
  <c r="F597" i="46"/>
  <c r="E597" i="46"/>
  <c r="D597" i="46"/>
  <c r="C597" i="46" s="1"/>
  <c r="F596" i="46"/>
  <c r="E596" i="46"/>
  <c r="D596" i="46"/>
  <c r="C596" i="46" s="1"/>
  <c r="F595" i="46"/>
  <c r="E595" i="46"/>
  <c r="D595" i="46"/>
  <c r="C595" i="46" s="1"/>
  <c r="F594" i="46"/>
  <c r="E594" i="46"/>
  <c r="D594" i="46"/>
  <c r="C594" i="46" s="1"/>
  <c r="F593" i="46"/>
  <c r="E593" i="46"/>
  <c r="D593" i="46"/>
  <c r="C593" i="46" s="1"/>
  <c r="F592" i="46"/>
  <c r="E592" i="46"/>
  <c r="D592" i="46"/>
  <c r="C592" i="46" s="1"/>
  <c r="F591" i="46"/>
  <c r="E591" i="46"/>
  <c r="D591" i="46"/>
  <c r="C591" i="46" s="1"/>
  <c r="F590" i="46"/>
  <c r="E590" i="46"/>
  <c r="D590" i="46"/>
  <c r="C590" i="46" s="1"/>
  <c r="F589" i="46"/>
  <c r="E589" i="46"/>
  <c r="D589" i="46"/>
  <c r="C589" i="46" s="1"/>
  <c r="F588" i="46"/>
  <c r="E588" i="46"/>
  <c r="D588" i="46"/>
  <c r="C588" i="46" s="1"/>
  <c r="F587" i="46"/>
  <c r="E587" i="46"/>
  <c r="D587" i="46"/>
  <c r="C587" i="46" s="1"/>
  <c r="F586" i="46"/>
  <c r="E586" i="46"/>
  <c r="D586" i="46"/>
  <c r="C586" i="46" s="1"/>
  <c r="F585" i="46"/>
  <c r="E585" i="46"/>
  <c r="D585" i="46"/>
  <c r="C585" i="46" s="1"/>
  <c r="F584" i="46"/>
  <c r="E584" i="46"/>
  <c r="D584" i="46"/>
  <c r="C584" i="46" s="1"/>
  <c r="F583" i="46"/>
  <c r="E583" i="46"/>
  <c r="D583" i="46"/>
  <c r="C583" i="46" s="1"/>
  <c r="F582" i="46"/>
  <c r="E582" i="46"/>
  <c r="D582" i="46"/>
  <c r="C582" i="46" s="1"/>
  <c r="F581" i="46"/>
  <c r="E581" i="46"/>
  <c r="D581" i="46"/>
  <c r="C581" i="46" s="1"/>
  <c r="F580" i="46"/>
  <c r="E580" i="46"/>
  <c r="D580" i="46"/>
  <c r="C580" i="46" s="1"/>
  <c r="F579" i="46"/>
  <c r="E579" i="46"/>
  <c r="D579" i="46"/>
  <c r="C579" i="46" s="1"/>
  <c r="F578" i="46"/>
  <c r="E578" i="46"/>
  <c r="D578" i="46"/>
  <c r="C578" i="46" s="1"/>
  <c r="F577" i="46"/>
  <c r="E577" i="46"/>
  <c r="D577" i="46"/>
  <c r="C577" i="46" s="1"/>
  <c r="F576" i="46"/>
  <c r="E576" i="46"/>
  <c r="D576" i="46"/>
  <c r="C576" i="46" s="1"/>
  <c r="F575" i="46"/>
  <c r="E575" i="46"/>
  <c r="D575" i="46"/>
  <c r="C575" i="46" s="1"/>
  <c r="F574" i="46"/>
  <c r="E574" i="46"/>
  <c r="D574" i="46"/>
  <c r="C574" i="46" s="1"/>
  <c r="F573" i="46"/>
  <c r="E573" i="46"/>
  <c r="D573" i="46"/>
  <c r="C573" i="46" s="1"/>
  <c r="F572" i="46"/>
  <c r="E572" i="46"/>
  <c r="D572" i="46"/>
  <c r="C572" i="46" s="1"/>
  <c r="F571" i="46"/>
  <c r="E571" i="46"/>
  <c r="D571" i="46"/>
  <c r="C571" i="46" s="1"/>
  <c r="F570" i="46"/>
  <c r="E570" i="46"/>
  <c r="D570" i="46"/>
  <c r="C570" i="46" s="1"/>
  <c r="F569" i="46"/>
  <c r="E569" i="46"/>
  <c r="D569" i="46"/>
  <c r="C569" i="46" s="1"/>
  <c r="F568" i="46"/>
  <c r="E568" i="46"/>
  <c r="D568" i="46"/>
  <c r="C568" i="46" s="1"/>
  <c r="F567" i="46"/>
  <c r="E567" i="46"/>
  <c r="D567" i="46"/>
  <c r="C567" i="46" s="1"/>
  <c r="F566" i="46"/>
  <c r="E566" i="46"/>
  <c r="D566" i="46"/>
  <c r="C566" i="46" s="1"/>
  <c r="F565" i="46"/>
  <c r="E565" i="46"/>
  <c r="D565" i="46"/>
  <c r="C565" i="46" s="1"/>
  <c r="F564" i="46"/>
  <c r="E564" i="46"/>
  <c r="D564" i="46"/>
  <c r="C564" i="46" s="1"/>
  <c r="F563" i="46"/>
  <c r="E563" i="46"/>
  <c r="D563" i="46"/>
  <c r="C563" i="46" s="1"/>
  <c r="F562" i="46"/>
  <c r="E562" i="46"/>
  <c r="D562" i="46"/>
  <c r="C562" i="46" s="1"/>
  <c r="F561" i="46"/>
  <c r="E561" i="46"/>
  <c r="D561" i="46"/>
  <c r="C561" i="46" s="1"/>
  <c r="F560" i="46"/>
  <c r="E560" i="46"/>
  <c r="D560" i="46"/>
  <c r="C560" i="46" s="1"/>
  <c r="F559" i="46"/>
  <c r="E559" i="46"/>
  <c r="D559" i="46"/>
  <c r="C559" i="46" s="1"/>
  <c r="F558" i="46"/>
  <c r="E558" i="46"/>
  <c r="D558" i="46"/>
  <c r="C558" i="46" s="1"/>
  <c r="F557" i="46"/>
  <c r="E557" i="46"/>
  <c r="D557" i="46"/>
  <c r="C557" i="46" s="1"/>
  <c r="F556" i="46"/>
  <c r="E556" i="46"/>
  <c r="D556" i="46"/>
  <c r="C556" i="46" s="1"/>
  <c r="F555" i="46"/>
  <c r="E555" i="46"/>
  <c r="D555" i="46"/>
  <c r="C555" i="46" s="1"/>
  <c r="F554" i="46"/>
  <c r="E554" i="46"/>
  <c r="D554" i="46"/>
  <c r="C554" i="46" s="1"/>
  <c r="F553" i="46"/>
  <c r="E553" i="46"/>
  <c r="D553" i="46"/>
  <c r="C553" i="46" s="1"/>
  <c r="F552" i="46"/>
  <c r="E552" i="46"/>
  <c r="D552" i="46"/>
  <c r="C552" i="46" s="1"/>
  <c r="F551" i="46"/>
  <c r="E551" i="46"/>
  <c r="D551" i="46"/>
  <c r="C551" i="46" s="1"/>
  <c r="F550" i="46"/>
  <c r="E550" i="46"/>
  <c r="D550" i="46"/>
  <c r="C550" i="46" s="1"/>
  <c r="F549" i="46"/>
  <c r="E549" i="46"/>
  <c r="D549" i="46"/>
  <c r="C549" i="46" s="1"/>
  <c r="F548" i="46"/>
  <c r="E548" i="46"/>
  <c r="D548" i="46"/>
  <c r="C548" i="46" s="1"/>
  <c r="F547" i="46"/>
  <c r="E547" i="46"/>
  <c r="D547" i="46"/>
  <c r="C547" i="46" s="1"/>
  <c r="F546" i="46"/>
  <c r="E546" i="46"/>
  <c r="D546" i="46"/>
  <c r="C546" i="46" s="1"/>
  <c r="F545" i="46"/>
  <c r="E545" i="46"/>
  <c r="D545" i="46"/>
  <c r="C545" i="46" s="1"/>
  <c r="F544" i="46"/>
  <c r="E544" i="46"/>
  <c r="D544" i="46"/>
  <c r="C544" i="46" s="1"/>
  <c r="F543" i="46"/>
  <c r="E543" i="46"/>
  <c r="D543" i="46"/>
  <c r="C543" i="46" s="1"/>
  <c r="F542" i="46"/>
  <c r="E542" i="46"/>
  <c r="D542" i="46"/>
  <c r="C542" i="46" s="1"/>
  <c r="F541" i="46"/>
  <c r="E541" i="46"/>
  <c r="D541" i="46"/>
  <c r="C541" i="46" s="1"/>
  <c r="F540" i="46"/>
  <c r="E540" i="46"/>
  <c r="D540" i="46"/>
  <c r="C540" i="46" s="1"/>
  <c r="F539" i="46"/>
  <c r="E539" i="46"/>
  <c r="D539" i="46"/>
  <c r="C539" i="46" s="1"/>
  <c r="F538" i="46"/>
  <c r="E538" i="46"/>
  <c r="D538" i="46"/>
  <c r="C538" i="46" s="1"/>
  <c r="F537" i="46"/>
  <c r="E537" i="46"/>
  <c r="D537" i="46"/>
  <c r="C537" i="46" s="1"/>
  <c r="F536" i="46"/>
  <c r="E536" i="46"/>
  <c r="D536" i="46"/>
  <c r="C536" i="46" s="1"/>
  <c r="F535" i="46"/>
  <c r="E535" i="46"/>
  <c r="D535" i="46"/>
  <c r="C535" i="46" s="1"/>
  <c r="F534" i="46"/>
  <c r="E534" i="46"/>
  <c r="D534" i="46"/>
  <c r="C534" i="46" s="1"/>
  <c r="F533" i="46"/>
  <c r="E533" i="46"/>
  <c r="D533" i="46"/>
  <c r="C533" i="46" s="1"/>
  <c r="F532" i="46"/>
  <c r="E532" i="46"/>
  <c r="D532" i="46"/>
  <c r="C532" i="46" s="1"/>
  <c r="F531" i="46"/>
  <c r="E531" i="46"/>
  <c r="D531" i="46"/>
  <c r="C531" i="46" s="1"/>
  <c r="F530" i="46"/>
  <c r="E530" i="46"/>
  <c r="D530" i="46"/>
  <c r="C530" i="46" s="1"/>
  <c r="F529" i="46"/>
  <c r="E529" i="46"/>
  <c r="D529" i="46"/>
  <c r="C529" i="46" s="1"/>
  <c r="F528" i="46"/>
  <c r="E528" i="46"/>
  <c r="D528" i="46"/>
  <c r="C528" i="46" s="1"/>
  <c r="F527" i="46"/>
  <c r="E527" i="46"/>
  <c r="D527" i="46"/>
  <c r="C527" i="46" s="1"/>
  <c r="F526" i="46"/>
  <c r="E526" i="46"/>
  <c r="D526" i="46"/>
  <c r="C526" i="46" s="1"/>
  <c r="F525" i="46"/>
  <c r="E525" i="46"/>
  <c r="D525" i="46"/>
  <c r="C525" i="46" s="1"/>
  <c r="F524" i="46"/>
  <c r="E524" i="46"/>
  <c r="D524" i="46"/>
  <c r="C524" i="46" s="1"/>
  <c r="F523" i="46"/>
  <c r="E523" i="46"/>
  <c r="D523" i="46"/>
  <c r="C523" i="46" s="1"/>
  <c r="F522" i="46"/>
  <c r="E522" i="46"/>
  <c r="D522" i="46"/>
  <c r="C522" i="46" s="1"/>
  <c r="F521" i="46"/>
  <c r="E521" i="46"/>
  <c r="D521" i="46"/>
  <c r="C521" i="46" s="1"/>
  <c r="F520" i="46"/>
  <c r="E520" i="46"/>
  <c r="D520" i="46"/>
  <c r="C520" i="46" s="1"/>
  <c r="F519" i="46"/>
  <c r="E519" i="46"/>
  <c r="D519" i="46"/>
  <c r="C519" i="46" s="1"/>
  <c r="F518" i="46"/>
  <c r="E518" i="46"/>
  <c r="D518" i="46"/>
  <c r="C518" i="46" s="1"/>
  <c r="F517" i="46"/>
  <c r="E517" i="46"/>
  <c r="D517" i="46"/>
  <c r="C517" i="46" s="1"/>
  <c r="F516" i="46"/>
  <c r="E516" i="46"/>
  <c r="D516" i="46"/>
  <c r="C516" i="46" s="1"/>
  <c r="F515" i="46"/>
  <c r="E515" i="46"/>
  <c r="D515" i="46"/>
  <c r="C515" i="46" s="1"/>
  <c r="F514" i="46"/>
  <c r="E514" i="46"/>
  <c r="D514" i="46"/>
  <c r="C514" i="46" s="1"/>
  <c r="F513" i="46"/>
  <c r="E513" i="46"/>
  <c r="D513" i="46"/>
  <c r="C513" i="46" s="1"/>
  <c r="F512" i="46"/>
  <c r="E512" i="46"/>
  <c r="D512" i="46"/>
  <c r="C512" i="46" s="1"/>
  <c r="F511" i="46"/>
  <c r="E511" i="46"/>
  <c r="D511" i="46"/>
  <c r="C511" i="46" s="1"/>
  <c r="F510" i="46"/>
  <c r="E510" i="46"/>
  <c r="D510" i="46"/>
  <c r="C510" i="46" s="1"/>
  <c r="F509" i="46"/>
  <c r="E509" i="46"/>
  <c r="D509" i="46"/>
  <c r="C509" i="46" s="1"/>
  <c r="F508" i="46"/>
  <c r="E508" i="46"/>
  <c r="D508" i="46"/>
  <c r="C508" i="46" s="1"/>
  <c r="F507" i="46"/>
  <c r="E507" i="46"/>
  <c r="D507" i="46"/>
  <c r="C507" i="46" s="1"/>
  <c r="F506" i="46"/>
  <c r="E506" i="46"/>
  <c r="D506" i="46"/>
  <c r="C506" i="46" s="1"/>
  <c r="F505" i="46"/>
  <c r="E505" i="46"/>
  <c r="D505" i="46"/>
  <c r="C505" i="46" s="1"/>
  <c r="F504" i="46"/>
  <c r="E504" i="46"/>
  <c r="D504" i="46"/>
  <c r="C504" i="46" s="1"/>
  <c r="F503" i="46"/>
  <c r="E503" i="46"/>
  <c r="D503" i="46"/>
  <c r="C503" i="46" s="1"/>
  <c r="F502" i="46"/>
  <c r="E502" i="46"/>
  <c r="D502" i="46"/>
  <c r="C502" i="46" s="1"/>
  <c r="F501" i="46"/>
  <c r="E501" i="46"/>
  <c r="D501" i="46"/>
  <c r="C501" i="46" s="1"/>
  <c r="F500" i="46"/>
  <c r="E500" i="46"/>
  <c r="D500" i="46"/>
  <c r="C500" i="46" s="1"/>
  <c r="F499" i="46"/>
  <c r="E499" i="46"/>
  <c r="D499" i="46"/>
  <c r="C499" i="46" s="1"/>
  <c r="F498" i="46"/>
  <c r="E498" i="46"/>
  <c r="D498" i="46"/>
  <c r="C498" i="46" s="1"/>
  <c r="F497" i="46"/>
  <c r="E497" i="46"/>
  <c r="D497" i="46"/>
  <c r="C497" i="46" s="1"/>
  <c r="F496" i="46"/>
  <c r="E496" i="46"/>
  <c r="D496" i="46"/>
  <c r="C496" i="46" s="1"/>
  <c r="F495" i="46"/>
  <c r="E495" i="46"/>
  <c r="D495" i="46"/>
  <c r="C495" i="46" s="1"/>
  <c r="F494" i="46"/>
  <c r="E494" i="46"/>
  <c r="D494" i="46"/>
  <c r="C494" i="46" s="1"/>
  <c r="F493" i="46"/>
  <c r="E493" i="46"/>
  <c r="D493" i="46"/>
  <c r="C493" i="46" s="1"/>
  <c r="F492" i="46"/>
  <c r="E492" i="46"/>
  <c r="D492" i="46"/>
  <c r="C492" i="46" s="1"/>
  <c r="F491" i="46"/>
  <c r="E491" i="46"/>
  <c r="D491" i="46"/>
  <c r="C491" i="46" s="1"/>
  <c r="F490" i="46"/>
  <c r="E490" i="46"/>
  <c r="D490" i="46"/>
  <c r="C490" i="46" s="1"/>
  <c r="F489" i="46"/>
  <c r="E489" i="46"/>
  <c r="D489" i="46"/>
  <c r="C489" i="46" s="1"/>
  <c r="F488" i="46"/>
  <c r="E488" i="46"/>
  <c r="D488" i="46"/>
  <c r="C488" i="46" s="1"/>
  <c r="F487" i="46"/>
  <c r="E487" i="46"/>
  <c r="D487" i="46"/>
  <c r="C487" i="46" s="1"/>
  <c r="F486" i="46"/>
  <c r="E486" i="46"/>
  <c r="D486" i="46"/>
  <c r="C486" i="46" s="1"/>
  <c r="F485" i="46"/>
  <c r="E485" i="46"/>
  <c r="D485" i="46"/>
  <c r="C485" i="46" s="1"/>
  <c r="F484" i="46"/>
  <c r="E484" i="46"/>
  <c r="D484" i="46"/>
  <c r="C484" i="46" s="1"/>
  <c r="F483" i="46"/>
  <c r="E483" i="46"/>
  <c r="D483" i="46"/>
  <c r="C483" i="46" s="1"/>
  <c r="F482" i="46"/>
  <c r="E482" i="46"/>
  <c r="D482" i="46"/>
  <c r="C482" i="46" s="1"/>
  <c r="F481" i="46"/>
  <c r="E481" i="46"/>
  <c r="D481" i="46"/>
  <c r="C481" i="46" s="1"/>
  <c r="F480" i="46"/>
  <c r="E480" i="46"/>
  <c r="D480" i="46"/>
  <c r="C480" i="46" s="1"/>
  <c r="F479" i="46"/>
  <c r="E479" i="46"/>
  <c r="D479" i="46"/>
  <c r="C479" i="46" s="1"/>
  <c r="F478" i="46"/>
  <c r="E478" i="46"/>
  <c r="D478" i="46"/>
  <c r="C478" i="46" s="1"/>
  <c r="F477" i="46"/>
  <c r="E477" i="46"/>
  <c r="D477" i="46"/>
  <c r="C477" i="46" s="1"/>
  <c r="F476" i="46"/>
  <c r="E476" i="46"/>
  <c r="D476" i="46"/>
  <c r="C476" i="46" s="1"/>
  <c r="F475" i="46"/>
  <c r="E475" i="46"/>
  <c r="D475" i="46"/>
  <c r="C475" i="46" s="1"/>
  <c r="F474" i="46"/>
  <c r="E474" i="46"/>
  <c r="D474" i="46"/>
  <c r="C474" i="46" s="1"/>
  <c r="F473" i="46"/>
  <c r="E473" i="46"/>
  <c r="D473" i="46"/>
  <c r="C473" i="46" s="1"/>
  <c r="F472" i="46"/>
  <c r="E472" i="46"/>
  <c r="D472" i="46"/>
  <c r="C472" i="46" s="1"/>
  <c r="F471" i="46"/>
  <c r="E471" i="46"/>
  <c r="D471" i="46"/>
  <c r="C471" i="46" s="1"/>
  <c r="F470" i="46"/>
  <c r="E470" i="46"/>
  <c r="D470" i="46"/>
  <c r="C470" i="46" s="1"/>
  <c r="F469" i="46"/>
  <c r="E469" i="46"/>
  <c r="D469" i="46"/>
  <c r="C469" i="46" s="1"/>
  <c r="F468" i="46"/>
  <c r="E468" i="46"/>
  <c r="D468" i="46"/>
  <c r="C468" i="46" s="1"/>
  <c r="F467" i="46"/>
  <c r="E467" i="46"/>
  <c r="D467" i="46"/>
  <c r="C467" i="46" s="1"/>
  <c r="F466" i="46"/>
  <c r="E466" i="46"/>
  <c r="D466" i="46"/>
  <c r="C466" i="46" s="1"/>
  <c r="F465" i="46"/>
  <c r="E465" i="46"/>
  <c r="D465" i="46"/>
  <c r="C465" i="46" s="1"/>
  <c r="F464" i="46"/>
  <c r="E464" i="46"/>
  <c r="D464" i="46"/>
  <c r="C464" i="46" s="1"/>
  <c r="F463" i="46"/>
  <c r="E463" i="46"/>
  <c r="D463" i="46"/>
  <c r="C463" i="46" s="1"/>
  <c r="F462" i="46"/>
  <c r="E462" i="46"/>
  <c r="D462" i="46"/>
  <c r="C462" i="46" s="1"/>
  <c r="F461" i="46"/>
  <c r="E461" i="46"/>
  <c r="D461" i="46"/>
  <c r="C461" i="46" s="1"/>
  <c r="F460" i="46"/>
  <c r="E460" i="46"/>
  <c r="D460" i="46"/>
  <c r="C460" i="46" s="1"/>
  <c r="F459" i="46"/>
  <c r="E459" i="46"/>
  <c r="D459" i="46"/>
  <c r="C459" i="46" s="1"/>
  <c r="F458" i="46"/>
  <c r="E458" i="46"/>
  <c r="D458" i="46"/>
  <c r="C458" i="46" s="1"/>
  <c r="F457" i="46"/>
  <c r="E457" i="46"/>
  <c r="D457" i="46"/>
  <c r="C457" i="46" s="1"/>
  <c r="F456" i="46"/>
  <c r="E456" i="46"/>
  <c r="D456" i="46"/>
  <c r="C456" i="46" s="1"/>
  <c r="F455" i="46"/>
  <c r="E455" i="46"/>
  <c r="D455" i="46"/>
  <c r="C455" i="46" s="1"/>
  <c r="F454" i="46"/>
  <c r="E454" i="46"/>
  <c r="D454" i="46"/>
  <c r="C454" i="46" s="1"/>
  <c r="F453" i="46"/>
  <c r="E453" i="46"/>
  <c r="D453" i="46"/>
  <c r="C453" i="46" s="1"/>
  <c r="F452" i="46"/>
  <c r="E452" i="46"/>
  <c r="D452" i="46"/>
  <c r="C452" i="46" s="1"/>
  <c r="F451" i="46"/>
  <c r="E451" i="46"/>
  <c r="D451" i="46"/>
  <c r="C451" i="46" s="1"/>
  <c r="F450" i="46"/>
  <c r="E450" i="46"/>
  <c r="D450" i="46"/>
  <c r="C450" i="46" s="1"/>
  <c r="F449" i="46"/>
  <c r="E449" i="46"/>
  <c r="D449" i="46"/>
  <c r="C449" i="46" s="1"/>
  <c r="F448" i="46"/>
  <c r="E448" i="46"/>
  <c r="D448" i="46"/>
  <c r="C448" i="46" s="1"/>
  <c r="F447" i="46"/>
  <c r="E447" i="46"/>
  <c r="D447" i="46"/>
  <c r="C447" i="46" s="1"/>
  <c r="F446" i="46"/>
  <c r="E446" i="46"/>
  <c r="D446" i="46"/>
  <c r="C446" i="46" s="1"/>
  <c r="F445" i="46"/>
  <c r="E445" i="46"/>
  <c r="D445" i="46"/>
  <c r="C445" i="46" s="1"/>
  <c r="F444" i="46"/>
  <c r="E444" i="46"/>
  <c r="D444" i="46"/>
  <c r="C444" i="46" s="1"/>
  <c r="F443" i="46"/>
  <c r="E443" i="46"/>
  <c r="D443" i="46"/>
  <c r="C443" i="46" s="1"/>
  <c r="F442" i="46"/>
  <c r="E442" i="46"/>
  <c r="D442" i="46"/>
  <c r="C442" i="46" s="1"/>
  <c r="F441" i="46"/>
  <c r="E441" i="46"/>
  <c r="D441" i="46"/>
  <c r="C441" i="46" s="1"/>
  <c r="F440" i="46"/>
  <c r="E440" i="46"/>
  <c r="D440" i="46"/>
  <c r="C440" i="46" s="1"/>
  <c r="F439" i="46"/>
  <c r="E439" i="46"/>
  <c r="D439" i="46"/>
  <c r="C439" i="46" s="1"/>
  <c r="F438" i="46"/>
  <c r="E438" i="46"/>
  <c r="D438" i="46"/>
  <c r="C438" i="46" s="1"/>
  <c r="F437" i="46"/>
  <c r="E437" i="46"/>
  <c r="D437" i="46"/>
  <c r="C437" i="46" s="1"/>
  <c r="F436" i="46"/>
  <c r="E436" i="46"/>
  <c r="D436" i="46"/>
  <c r="C436" i="46" s="1"/>
  <c r="F435" i="46"/>
  <c r="E435" i="46"/>
  <c r="D435" i="46"/>
  <c r="C435" i="46" s="1"/>
  <c r="F434" i="46"/>
  <c r="E434" i="46"/>
  <c r="D434" i="46"/>
  <c r="C434" i="46" s="1"/>
  <c r="F433" i="46"/>
  <c r="E433" i="46"/>
  <c r="D433" i="46"/>
  <c r="C433" i="46" s="1"/>
  <c r="F432" i="46"/>
  <c r="E432" i="46"/>
  <c r="D432" i="46"/>
  <c r="C432" i="46" s="1"/>
  <c r="F431" i="46"/>
  <c r="E431" i="46"/>
  <c r="D431" i="46"/>
  <c r="C431" i="46" s="1"/>
  <c r="F430" i="46"/>
  <c r="E430" i="46"/>
  <c r="D430" i="46"/>
  <c r="C430" i="46" s="1"/>
  <c r="F429" i="46"/>
  <c r="E429" i="46"/>
  <c r="D429" i="46"/>
  <c r="C429" i="46" s="1"/>
  <c r="F428" i="46"/>
  <c r="E428" i="46"/>
  <c r="D428" i="46"/>
  <c r="C428" i="46" s="1"/>
  <c r="F427" i="46"/>
  <c r="E427" i="46"/>
  <c r="D427" i="46"/>
  <c r="C427" i="46" s="1"/>
  <c r="F426" i="46"/>
  <c r="E426" i="46"/>
  <c r="D426" i="46"/>
  <c r="C426" i="46" s="1"/>
  <c r="F425" i="46"/>
  <c r="E425" i="46"/>
  <c r="D425" i="46"/>
  <c r="C425" i="46" s="1"/>
  <c r="F424" i="46"/>
  <c r="E424" i="46"/>
  <c r="D424" i="46"/>
  <c r="C424" i="46" s="1"/>
  <c r="F423" i="46"/>
  <c r="E423" i="46"/>
  <c r="D423" i="46"/>
  <c r="C423" i="46" s="1"/>
  <c r="F422" i="46"/>
  <c r="E422" i="46"/>
  <c r="D422" i="46"/>
  <c r="C422" i="46" s="1"/>
  <c r="F421" i="46"/>
  <c r="E421" i="46"/>
  <c r="D421" i="46"/>
  <c r="C421" i="46" s="1"/>
  <c r="F420" i="46"/>
  <c r="E420" i="46"/>
  <c r="D420" i="46"/>
  <c r="C420" i="46" s="1"/>
  <c r="F419" i="46"/>
  <c r="E419" i="46"/>
  <c r="D419" i="46"/>
  <c r="C419" i="46" s="1"/>
  <c r="F418" i="46"/>
  <c r="E418" i="46"/>
  <c r="D418" i="46"/>
  <c r="C418" i="46" s="1"/>
  <c r="F417" i="46"/>
  <c r="E417" i="46"/>
  <c r="D417" i="46"/>
  <c r="C417" i="46" s="1"/>
  <c r="F416" i="46"/>
  <c r="E416" i="46"/>
  <c r="D416" i="46"/>
  <c r="C416" i="46" s="1"/>
  <c r="F415" i="46"/>
  <c r="E415" i="46"/>
  <c r="D415" i="46"/>
  <c r="C415" i="46" s="1"/>
  <c r="F414" i="46"/>
  <c r="E414" i="46"/>
  <c r="D414" i="46"/>
  <c r="C414" i="46" s="1"/>
  <c r="F413" i="46"/>
  <c r="E413" i="46"/>
  <c r="D413" i="46"/>
  <c r="C413" i="46" s="1"/>
  <c r="F412" i="46"/>
  <c r="E412" i="46"/>
  <c r="D412" i="46"/>
  <c r="C412" i="46" s="1"/>
  <c r="F411" i="46"/>
  <c r="E411" i="46"/>
  <c r="D411" i="46"/>
  <c r="C411" i="46" s="1"/>
  <c r="F410" i="46"/>
  <c r="E410" i="46"/>
  <c r="D410" i="46"/>
  <c r="C410" i="46" s="1"/>
  <c r="F409" i="46"/>
  <c r="E409" i="46"/>
  <c r="D409" i="46"/>
  <c r="C409" i="46" s="1"/>
  <c r="F408" i="46"/>
  <c r="E408" i="46"/>
  <c r="D408" i="46"/>
  <c r="C408" i="46" s="1"/>
  <c r="F407" i="46"/>
  <c r="E407" i="46"/>
  <c r="D407" i="46"/>
  <c r="C407" i="46" s="1"/>
  <c r="F406" i="46"/>
  <c r="E406" i="46"/>
  <c r="D406" i="46"/>
  <c r="C406" i="46" s="1"/>
  <c r="F405" i="46"/>
  <c r="E405" i="46"/>
  <c r="D405" i="46"/>
  <c r="C405" i="46" s="1"/>
  <c r="F404" i="46"/>
  <c r="E404" i="46"/>
  <c r="D404" i="46"/>
  <c r="C404" i="46" s="1"/>
  <c r="F403" i="46"/>
  <c r="E403" i="46"/>
  <c r="D403" i="46"/>
  <c r="C403" i="46" s="1"/>
  <c r="F402" i="46"/>
  <c r="E402" i="46"/>
  <c r="D402" i="46"/>
  <c r="C402" i="46" s="1"/>
  <c r="F401" i="46"/>
  <c r="E401" i="46"/>
  <c r="D401" i="46"/>
  <c r="C401" i="46" s="1"/>
  <c r="F400" i="46"/>
  <c r="E400" i="46"/>
  <c r="D400" i="46"/>
  <c r="C400" i="46" s="1"/>
  <c r="F399" i="46"/>
  <c r="E399" i="46"/>
  <c r="D399" i="46"/>
  <c r="C399" i="46" s="1"/>
  <c r="F398" i="46"/>
  <c r="E398" i="46"/>
  <c r="D398" i="46"/>
  <c r="C398" i="46" s="1"/>
  <c r="F397" i="46"/>
  <c r="E397" i="46"/>
  <c r="D397" i="46"/>
  <c r="C397" i="46" s="1"/>
  <c r="F396" i="46"/>
  <c r="E396" i="46"/>
  <c r="D396" i="46"/>
  <c r="C396" i="46" s="1"/>
  <c r="F395" i="46"/>
  <c r="E395" i="46"/>
  <c r="D395" i="46"/>
  <c r="C395" i="46" s="1"/>
  <c r="F394" i="46"/>
  <c r="E394" i="46"/>
  <c r="D394" i="46"/>
  <c r="C394" i="46" s="1"/>
  <c r="F393" i="46"/>
  <c r="E393" i="46"/>
  <c r="D393" i="46"/>
  <c r="C393" i="46" s="1"/>
  <c r="F392" i="46"/>
  <c r="E392" i="46"/>
  <c r="D392" i="46"/>
  <c r="C392" i="46" s="1"/>
  <c r="F391" i="46"/>
  <c r="E391" i="46"/>
  <c r="D391" i="46"/>
  <c r="C391" i="46" s="1"/>
  <c r="F390" i="46"/>
  <c r="E390" i="46"/>
  <c r="D390" i="46"/>
  <c r="C390" i="46" s="1"/>
  <c r="F389" i="46"/>
  <c r="E389" i="46"/>
  <c r="D389" i="46"/>
  <c r="C389" i="46" s="1"/>
  <c r="F388" i="46"/>
  <c r="E388" i="46"/>
  <c r="D388" i="46"/>
  <c r="C388" i="46" s="1"/>
  <c r="F387" i="46"/>
  <c r="E387" i="46"/>
  <c r="D387" i="46"/>
  <c r="C387" i="46" s="1"/>
  <c r="F386" i="46"/>
  <c r="E386" i="46"/>
  <c r="D386" i="46"/>
  <c r="C386" i="46" s="1"/>
  <c r="F385" i="46"/>
  <c r="E385" i="46"/>
  <c r="D385" i="46"/>
  <c r="C385" i="46" s="1"/>
  <c r="F384" i="46"/>
  <c r="E384" i="46"/>
  <c r="D384" i="46"/>
  <c r="C384" i="46" s="1"/>
  <c r="F383" i="46"/>
  <c r="E383" i="46"/>
  <c r="D383" i="46"/>
  <c r="C383" i="46" s="1"/>
  <c r="F382" i="46"/>
  <c r="E382" i="46"/>
  <c r="D382" i="46"/>
  <c r="C382" i="46" s="1"/>
  <c r="F381" i="46"/>
  <c r="E381" i="46"/>
  <c r="D381" i="46"/>
  <c r="C381" i="46" s="1"/>
  <c r="F380" i="46"/>
  <c r="E380" i="46"/>
  <c r="D380" i="46"/>
  <c r="C380" i="46" s="1"/>
  <c r="F379" i="46"/>
  <c r="E379" i="46"/>
  <c r="D379" i="46"/>
  <c r="C379" i="46" s="1"/>
  <c r="F378" i="46"/>
  <c r="E378" i="46"/>
  <c r="D378" i="46"/>
  <c r="C378" i="46" s="1"/>
  <c r="F377" i="46"/>
  <c r="E377" i="46"/>
  <c r="D377" i="46"/>
  <c r="C377" i="46" s="1"/>
  <c r="F376" i="46"/>
  <c r="E376" i="46"/>
  <c r="D376" i="46"/>
  <c r="C376" i="46" s="1"/>
  <c r="F375" i="46"/>
  <c r="E375" i="46"/>
  <c r="D375" i="46"/>
  <c r="C375" i="46" s="1"/>
  <c r="F374" i="46"/>
  <c r="E374" i="46"/>
  <c r="D374" i="46"/>
  <c r="C374" i="46" s="1"/>
  <c r="F373" i="46"/>
  <c r="E373" i="46"/>
  <c r="D373" i="46"/>
  <c r="C373" i="46" s="1"/>
  <c r="F372" i="46"/>
  <c r="E372" i="46"/>
  <c r="D372" i="46"/>
  <c r="C372" i="46" s="1"/>
  <c r="F371" i="46"/>
  <c r="E371" i="46"/>
  <c r="D371" i="46"/>
  <c r="C371" i="46" s="1"/>
  <c r="F370" i="46"/>
  <c r="E370" i="46"/>
  <c r="D370" i="46"/>
  <c r="C370" i="46" s="1"/>
  <c r="F369" i="46"/>
  <c r="E369" i="46"/>
  <c r="D369" i="46"/>
  <c r="C369" i="46" s="1"/>
  <c r="F368" i="46"/>
  <c r="E368" i="46"/>
  <c r="D368" i="46"/>
  <c r="C368" i="46" s="1"/>
  <c r="F367" i="46"/>
  <c r="E367" i="46"/>
  <c r="D367" i="46"/>
  <c r="C367" i="46" s="1"/>
  <c r="F366" i="46"/>
  <c r="E366" i="46"/>
  <c r="D366" i="46"/>
  <c r="C366" i="46" s="1"/>
  <c r="F365" i="46"/>
  <c r="E365" i="46"/>
  <c r="D365" i="46"/>
  <c r="C365" i="46" s="1"/>
  <c r="F364" i="46"/>
  <c r="E364" i="46"/>
  <c r="D364" i="46"/>
  <c r="C364" i="46" s="1"/>
  <c r="F363" i="46"/>
  <c r="E363" i="46"/>
  <c r="D363" i="46"/>
  <c r="C363" i="46" s="1"/>
  <c r="F362" i="46"/>
  <c r="E362" i="46"/>
  <c r="D362" i="46"/>
  <c r="C362" i="46" s="1"/>
  <c r="F361" i="46"/>
  <c r="E361" i="46"/>
  <c r="D361" i="46"/>
  <c r="C361" i="46" s="1"/>
  <c r="F360" i="46"/>
  <c r="E360" i="46"/>
  <c r="D360" i="46"/>
  <c r="C360" i="46" s="1"/>
  <c r="F359" i="46"/>
  <c r="E359" i="46"/>
  <c r="D359" i="46"/>
  <c r="C359" i="46" s="1"/>
  <c r="F358" i="46"/>
  <c r="E358" i="46"/>
  <c r="D358" i="46"/>
  <c r="C358" i="46" s="1"/>
  <c r="F357" i="46"/>
  <c r="E357" i="46"/>
  <c r="D357" i="46"/>
  <c r="C357" i="46" s="1"/>
  <c r="F356" i="46"/>
  <c r="E356" i="46"/>
  <c r="D356" i="46"/>
  <c r="C356" i="46" s="1"/>
  <c r="F355" i="46"/>
  <c r="E355" i="46"/>
  <c r="D355" i="46"/>
  <c r="C355" i="46" s="1"/>
  <c r="F354" i="46"/>
  <c r="E354" i="46"/>
  <c r="D354" i="46"/>
  <c r="C354" i="46" s="1"/>
  <c r="F353" i="46"/>
  <c r="E353" i="46"/>
  <c r="D353" i="46"/>
  <c r="C353" i="46" s="1"/>
  <c r="F352" i="46"/>
  <c r="E352" i="46"/>
  <c r="D352" i="46"/>
  <c r="C352" i="46" s="1"/>
  <c r="F351" i="46"/>
  <c r="E351" i="46"/>
  <c r="D351" i="46"/>
  <c r="C351" i="46" s="1"/>
  <c r="F350" i="46"/>
  <c r="E350" i="46"/>
  <c r="D350" i="46"/>
  <c r="C350" i="46" s="1"/>
  <c r="F349" i="46"/>
  <c r="E349" i="46"/>
  <c r="D349" i="46"/>
  <c r="C349" i="46" s="1"/>
  <c r="F348" i="46"/>
  <c r="E348" i="46"/>
  <c r="D348" i="46"/>
  <c r="C348" i="46" s="1"/>
  <c r="F347" i="46"/>
  <c r="E347" i="46"/>
  <c r="D347" i="46"/>
  <c r="C347" i="46" s="1"/>
  <c r="F346" i="46"/>
  <c r="E346" i="46"/>
  <c r="D346" i="46"/>
  <c r="C346" i="46" s="1"/>
  <c r="F345" i="46"/>
  <c r="E345" i="46"/>
  <c r="D345" i="46"/>
  <c r="C345" i="46" s="1"/>
  <c r="F344" i="46"/>
  <c r="E344" i="46"/>
  <c r="D344" i="46"/>
  <c r="C344" i="46" s="1"/>
  <c r="F343" i="46"/>
  <c r="E343" i="46"/>
  <c r="D343" i="46"/>
  <c r="C343" i="46" s="1"/>
  <c r="F342" i="46"/>
  <c r="E342" i="46"/>
  <c r="D342" i="46"/>
  <c r="C342" i="46" s="1"/>
  <c r="F341" i="46"/>
  <c r="E341" i="46"/>
  <c r="D341" i="46"/>
  <c r="C341" i="46" s="1"/>
  <c r="F340" i="46"/>
  <c r="E340" i="46"/>
  <c r="D340" i="46"/>
  <c r="C340" i="46" s="1"/>
  <c r="F339" i="46"/>
  <c r="E339" i="46"/>
  <c r="D339" i="46"/>
  <c r="C339" i="46" s="1"/>
  <c r="F338" i="46"/>
  <c r="E338" i="46"/>
  <c r="D338" i="46"/>
  <c r="C338" i="46" s="1"/>
  <c r="F337" i="46"/>
  <c r="E337" i="46"/>
  <c r="D337" i="46"/>
  <c r="C337" i="46" s="1"/>
  <c r="F336" i="46"/>
  <c r="E336" i="46"/>
  <c r="D336" i="46"/>
  <c r="C336" i="46" s="1"/>
  <c r="F335" i="46"/>
  <c r="E335" i="46"/>
  <c r="D335" i="46"/>
  <c r="C335" i="46" s="1"/>
  <c r="F334" i="46"/>
  <c r="E334" i="46"/>
  <c r="D334" i="46"/>
  <c r="C334" i="46" s="1"/>
  <c r="F333" i="46"/>
  <c r="E333" i="46"/>
  <c r="D333" i="46"/>
  <c r="C333" i="46" s="1"/>
  <c r="F332" i="46"/>
  <c r="E332" i="46"/>
  <c r="D332" i="46"/>
  <c r="C332" i="46" s="1"/>
  <c r="F331" i="46"/>
  <c r="E331" i="46"/>
  <c r="D331" i="46"/>
  <c r="C331" i="46" s="1"/>
  <c r="F330" i="46"/>
  <c r="E330" i="46"/>
  <c r="D330" i="46"/>
  <c r="C330" i="46" s="1"/>
  <c r="F329" i="46"/>
  <c r="E329" i="46"/>
  <c r="D329" i="46"/>
  <c r="C329" i="46" s="1"/>
  <c r="F328" i="46"/>
  <c r="E328" i="46"/>
  <c r="D328" i="46"/>
  <c r="C328" i="46" s="1"/>
  <c r="F327" i="46"/>
  <c r="E327" i="46"/>
  <c r="D327" i="46"/>
  <c r="C327" i="46" s="1"/>
  <c r="F326" i="46"/>
  <c r="E326" i="46"/>
  <c r="D326" i="46"/>
  <c r="C326" i="46" s="1"/>
  <c r="F325" i="46"/>
  <c r="E325" i="46"/>
  <c r="D325" i="46"/>
  <c r="C325" i="46" s="1"/>
  <c r="F324" i="46"/>
  <c r="E324" i="46"/>
  <c r="D324" i="46"/>
  <c r="C324" i="46" s="1"/>
  <c r="F323" i="46"/>
  <c r="E323" i="46"/>
  <c r="D323" i="46"/>
  <c r="C323" i="46" s="1"/>
  <c r="F322" i="46"/>
  <c r="E322" i="46"/>
  <c r="D322" i="46"/>
  <c r="C322" i="46" s="1"/>
  <c r="F321" i="46"/>
  <c r="E321" i="46"/>
  <c r="D321" i="46"/>
  <c r="C321" i="46" s="1"/>
  <c r="F320" i="46"/>
  <c r="E320" i="46"/>
  <c r="D320" i="46"/>
  <c r="C320" i="46" s="1"/>
  <c r="F319" i="46"/>
  <c r="E319" i="46"/>
  <c r="D319" i="46"/>
  <c r="C319" i="46" s="1"/>
  <c r="F318" i="46"/>
  <c r="E318" i="46"/>
  <c r="D318" i="46"/>
  <c r="C318" i="46" s="1"/>
  <c r="F317" i="46"/>
  <c r="E317" i="46"/>
  <c r="D317" i="46"/>
  <c r="C317" i="46" s="1"/>
  <c r="F316" i="46"/>
  <c r="E316" i="46"/>
  <c r="D316" i="46"/>
  <c r="C316" i="46" s="1"/>
  <c r="D6" i="46"/>
  <c r="G717" i="46" l="1"/>
  <c r="G684" i="46"/>
  <c r="G939" i="46"/>
  <c r="G940" i="46"/>
  <c r="G532" i="46"/>
  <c r="G519" i="46"/>
  <c r="G778" i="46"/>
  <c r="G826" i="46"/>
  <c r="G337" i="46"/>
  <c r="G654" i="46"/>
  <c r="G931" i="46"/>
  <c r="G731" i="46"/>
  <c r="G881" i="46"/>
  <c r="G339" i="46"/>
  <c r="G345" i="46"/>
  <c r="G692" i="46"/>
  <c r="G936" i="46"/>
  <c r="G694" i="46"/>
  <c r="G716" i="46"/>
  <c r="G818" i="46"/>
  <c r="G477" i="46"/>
  <c r="G568" i="46"/>
  <c r="G590" i="46"/>
  <c r="G827" i="46"/>
  <c r="G360" i="46"/>
  <c r="G403" i="46"/>
  <c r="G615" i="46"/>
  <c r="G409" i="46"/>
  <c r="G328" i="46"/>
  <c r="G411" i="46"/>
  <c r="G702" i="46"/>
  <c r="G889" i="46"/>
  <c r="G597" i="46"/>
  <c r="G891" i="46"/>
  <c r="G921" i="46"/>
  <c r="G324" i="46"/>
  <c r="G546" i="46"/>
  <c r="G332" i="46"/>
  <c r="G325" i="46"/>
  <c r="G347" i="46"/>
  <c r="G371" i="46"/>
  <c r="G476" i="46"/>
  <c r="G485" i="46"/>
  <c r="G493" i="46"/>
  <c r="G565" i="46"/>
  <c r="G657" i="46"/>
  <c r="G733" i="46"/>
  <c r="G913" i="46"/>
  <c r="G408" i="46"/>
  <c r="G609" i="46"/>
  <c r="G677" i="46"/>
  <c r="G754" i="46"/>
  <c r="G319" i="46"/>
  <c r="G492" i="46"/>
  <c r="G557" i="46"/>
  <c r="G363" i="46"/>
  <c r="G514" i="46"/>
  <c r="G559" i="46"/>
  <c r="G562" i="46"/>
  <c r="G728" i="46"/>
  <c r="G765" i="46"/>
  <c r="G527" i="46"/>
  <c r="G834" i="46"/>
  <c r="G944" i="46"/>
  <c r="G323" i="46"/>
  <c r="G329" i="46"/>
  <c r="G336" i="46"/>
  <c r="G340" i="46"/>
  <c r="G649" i="46"/>
  <c r="G795" i="46"/>
  <c r="G828" i="46"/>
  <c r="G844" i="46"/>
  <c r="G525" i="46"/>
  <c r="G318" i="46"/>
  <c r="G326" i="46"/>
  <c r="G327" i="46"/>
  <c r="G333" i="46"/>
  <c r="G484" i="46"/>
  <c r="G761" i="46"/>
  <c r="G400" i="46"/>
  <c r="G320" i="46"/>
  <c r="G928" i="46"/>
  <c r="G331" i="46"/>
  <c r="G335" i="46"/>
  <c r="G392" i="46"/>
  <c r="G341" i="46"/>
  <c r="G696" i="46"/>
  <c r="G506" i="46"/>
  <c r="G517" i="46"/>
  <c r="G524" i="46"/>
  <c r="G601" i="46"/>
  <c r="G794" i="46"/>
  <c r="G810" i="46"/>
  <c r="G387" i="46"/>
  <c r="G395" i="46"/>
  <c r="G516" i="46"/>
  <c r="G554" i="46"/>
  <c r="G606" i="46"/>
  <c r="G623" i="46"/>
  <c r="G645" i="46"/>
  <c r="G803" i="46"/>
  <c r="G842" i="46"/>
  <c r="G680" i="46"/>
  <c r="G915" i="46"/>
  <c r="G564" i="46"/>
  <c r="G593" i="46"/>
  <c r="G749" i="46"/>
  <c r="G757" i="46"/>
  <c r="G904" i="46"/>
  <c r="G923" i="46"/>
  <c r="G389" i="46"/>
  <c r="G396" i="46"/>
  <c r="G316" i="46"/>
  <c r="G317" i="46"/>
  <c r="G366" i="46"/>
  <c r="G374" i="46"/>
  <c r="G379" i="46"/>
  <c r="G380" i="46"/>
  <c r="G381" i="46"/>
  <c r="G384" i="46"/>
  <c r="G417" i="46"/>
  <c r="G427" i="46"/>
  <c r="G428" i="46"/>
  <c r="G433" i="46"/>
  <c r="G453" i="46"/>
  <c r="G457" i="46"/>
  <c r="G530" i="46"/>
  <c r="G552" i="46"/>
  <c r="G573" i="46"/>
  <c r="G321" i="46"/>
  <c r="G358" i="46"/>
  <c r="G364" i="46"/>
  <c r="G365" i="46"/>
  <c r="G367" i="46"/>
  <c r="G372" i="46"/>
  <c r="G373" i="46"/>
  <c r="G375" i="46"/>
  <c r="G393" i="46"/>
  <c r="G401" i="46"/>
  <c r="G415" i="46"/>
  <c r="G416" i="46"/>
  <c r="G418" i="46"/>
  <c r="G429" i="46"/>
  <c r="G441" i="46"/>
  <c r="G460" i="46"/>
  <c r="G469" i="46"/>
  <c r="G512" i="46"/>
  <c r="G538" i="46"/>
  <c r="G549" i="46"/>
  <c r="G383" i="46"/>
  <c r="G388" i="46"/>
  <c r="G350" i="46"/>
  <c r="G355" i="46"/>
  <c r="G356" i="46"/>
  <c r="G357" i="46"/>
  <c r="G359" i="46"/>
  <c r="G368" i="46"/>
  <c r="G376" i="46"/>
  <c r="G385" i="46"/>
  <c r="G431" i="46"/>
  <c r="G439" i="46"/>
  <c r="G450" i="46"/>
  <c r="G456" i="46"/>
  <c r="G509" i="46"/>
  <c r="G342" i="46"/>
  <c r="G348" i="46"/>
  <c r="G349" i="46"/>
  <c r="G351" i="46"/>
  <c r="G419" i="46"/>
  <c r="G420" i="46"/>
  <c r="G452" i="46"/>
  <c r="G548" i="46"/>
  <c r="G551" i="46"/>
  <c r="G556" i="46"/>
  <c r="G334" i="46"/>
  <c r="G343" i="46"/>
  <c r="G352" i="46"/>
  <c r="G369" i="46"/>
  <c r="G377" i="46"/>
  <c r="G406" i="46"/>
  <c r="G421" i="46"/>
  <c r="G459" i="46"/>
  <c r="G468" i="46"/>
  <c r="G508" i="46"/>
  <c r="G511" i="46"/>
  <c r="G545" i="46"/>
  <c r="G344" i="46"/>
  <c r="G353" i="46"/>
  <c r="G361" i="46"/>
  <c r="G390" i="46"/>
  <c r="G398" i="46"/>
  <c r="G407" i="46"/>
  <c r="G412" i="46"/>
  <c r="G413" i="46"/>
  <c r="G437" i="46"/>
  <c r="G449" i="46"/>
  <c r="G505" i="46"/>
  <c r="G382" i="46"/>
  <c r="G391" i="46"/>
  <c r="G399" i="46"/>
  <c r="G404" i="46"/>
  <c r="G405" i="46"/>
  <c r="G425" i="46"/>
  <c r="G442" i="46"/>
  <c r="G443" i="46"/>
  <c r="G458" i="46"/>
  <c r="G461" i="46"/>
  <c r="G571" i="46"/>
  <c r="G397" i="46"/>
  <c r="G423" i="46"/>
  <c r="G434" i="46"/>
  <c r="G435" i="46"/>
  <c r="G436" i="46"/>
  <c r="G467" i="46"/>
  <c r="G580" i="46"/>
  <c r="G586" i="46"/>
  <c r="G620" i="46"/>
  <c r="G650" i="46"/>
  <c r="G651" i="46"/>
  <c r="G658" i="46"/>
  <c r="G690" i="46"/>
  <c r="G697" i="46"/>
  <c r="G734" i="46"/>
  <c r="G737" i="46"/>
  <c r="G752" i="46"/>
  <c r="G800" i="46"/>
  <c r="G801" i="46"/>
  <c r="G858" i="46"/>
  <c r="G424" i="46"/>
  <c r="G426" i="46"/>
  <c r="G432" i="46"/>
  <c r="G451" i="46"/>
  <c r="G507" i="46"/>
  <c r="G537" i="46"/>
  <c r="G547" i="46"/>
  <c r="G599" i="46"/>
  <c r="G612" i="46"/>
  <c r="G629" i="46"/>
  <c r="G637" i="46"/>
  <c r="G641" i="46"/>
  <c r="G642" i="46"/>
  <c r="G643" i="46"/>
  <c r="G646" i="46"/>
  <c r="G661" i="46"/>
  <c r="G665" i="46"/>
  <c r="G666" i="46"/>
  <c r="G668" i="46"/>
  <c r="G669" i="46"/>
  <c r="G693" i="46"/>
  <c r="G698" i="46"/>
  <c r="G700" i="46"/>
  <c r="G704" i="46"/>
  <c r="G705" i="46"/>
  <c r="G708" i="46"/>
  <c r="G715" i="46"/>
  <c r="G738" i="46"/>
  <c r="G739" i="46"/>
  <c r="G750" i="46"/>
  <c r="G751" i="46"/>
  <c r="G766" i="46"/>
  <c r="G767" i="46"/>
  <c r="G769" i="46"/>
  <c r="G783" i="46"/>
  <c r="G785" i="46"/>
  <c r="G802" i="46"/>
  <c r="G874" i="46"/>
  <c r="G909" i="46"/>
  <c r="G440" i="46"/>
  <c r="G498" i="46"/>
  <c r="G504" i="46"/>
  <c r="G529" i="46"/>
  <c r="G539" i="46"/>
  <c r="G544" i="46"/>
  <c r="G574" i="46"/>
  <c r="G576" i="46"/>
  <c r="G577" i="46"/>
  <c r="G578" i="46"/>
  <c r="G579" i="46"/>
  <c r="G581" i="46"/>
  <c r="G582" i="46"/>
  <c r="G591" i="46"/>
  <c r="G604" i="46"/>
  <c r="G621" i="46"/>
  <c r="G626" i="46"/>
  <c r="G627" i="46"/>
  <c r="G630" i="46"/>
  <c r="G633" i="46"/>
  <c r="G634" i="46"/>
  <c r="G635" i="46"/>
  <c r="G638" i="46"/>
  <c r="G660" i="46"/>
  <c r="G664" i="46"/>
  <c r="G678" i="46"/>
  <c r="G701" i="46"/>
  <c r="G706" i="46"/>
  <c r="G709" i="46"/>
  <c r="G753" i="46"/>
  <c r="G770" i="46"/>
  <c r="G781" i="46"/>
  <c r="G782" i="46"/>
  <c r="G786" i="46"/>
  <c r="G812" i="46"/>
  <c r="G831" i="46"/>
  <c r="G832" i="46"/>
  <c r="G833" i="46"/>
  <c r="G839" i="46"/>
  <c r="G840" i="46"/>
  <c r="G841" i="46"/>
  <c r="G843" i="46"/>
  <c r="G897" i="46"/>
  <c r="G497" i="46"/>
  <c r="G499" i="46"/>
  <c r="G501" i="46"/>
  <c r="G503" i="46"/>
  <c r="G531" i="46"/>
  <c r="G536" i="46"/>
  <c r="G541" i="46"/>
  <c r="G543" i="46"/>
  <c r="G613" i="46"/>
  <c r="G618" i="46"/>
  <c r="G619" i="46"/>
  <c r="G622" i="46"/>
  <c r="G625" i="46"/>
  <c r="G662" i="46"/>
  <c r="G670" i="46"/>
  <c r="G686" i="46"/>
  <c r="G712" i="46"/>
  <c r="G713" i="46"/>
  <c r="G720" i="46"/>
  <c r="G776" i="46"/>
  <c r="G792" i="46"/>
  <c r="G823" i="46"/>
  <c r="G824" i="46"/>
  <c r="G825" i="46"/>
  <c r="G852" i="46"/>
  <c r="G856" i="46"/>
  <c r="G489" i="46"/>
  <c r="G490" i="46"/>
  <c r="G495" i="46"/>
  <c r="G496" i="46"/>
  <c r="G500" i="46"/>
  <c r="G521" i="46"/>
  <c r="G522" i="46"/>
  <c r="G528" i="46"/>
  <c r="G533" i="46"/>
  <c r="G535" i="46"/>
  <c r="G540" i="46"/>
  <c r="G583" i="46"/>
  <c r="G596" i="46"/>
  <c r="G605" i="46"/>
  <c r="G610" i="46"/>
  <c r="G611" i="46"/>
  <c r="G614" i="46"/>
  <c r="G617" i="46"/>
  <c r="G683" i="46"/>
  <c r="G711" i="46"/>
  <c r="G714" i="46"/>
  <c r="G726" i="46"/>
  <c r="G744" i="46"/>
  <c r="G760" i="46"/>
  <c r="G791" i="46"/>
  <c r="G793" i="46"/>
  <c r="G804" i="46"/>
  <c r="G835" i="46"/>
  <c r="G838" i="46"/>
  <c r="G855" i="46"/>
  <c r="G868" i="46"/>
  <c r="G911" i="46"/>
  <c r="G444" i="46"/>
  <c r="G445" i="46"/>
  <c r="G481" i="46"/>
  <c r="G482" i="46"/>
  <c r="G487" i="46"/>
  <c r="G488" i="46"/>
  <c r="G491" i="46"/>
  <c r="G523" i="46"/>
  <c r="G561" i="46"/>
  <c r="G570" i="46"/>
  <c r="G588" i="46"/>
  <c r="G602" i="46"/>
  <c r="G603" i="46"/>
  <c r="G652" i="46"/>
  <c r="G675" i="46"/>
  <c r="G729" i="46"/>
  <c r="G730" i="46"/>
  <c r="G742" i="46"/>
  <c r="G743" i="46"/>
  <c r="G758" i="46"/>
  <c r="G759" i="46"/>
  <c r="G773" i="46"/>
  <c r="G774" i="46"/>
  <c r="G775" i="46"/>
  <c r="G777" i="46"/>
  <c r="G789" i="46"/>
  <c r="G790" i="46"/>
  <c r="G808" i="46"/>
  <c r="G809" i="46"/>
  <c r="G815" i="46"/>
  <c r="G816" i="46"/>
  <c r="G817" i="46"/>
  <c r="G822" i="46"/>
  <c r="G860" i="46"/>
  <c r="G473" i="46"/>
  <c r="G474" i="46"/>
  <c r="G479" i="46"/>
  <c r="G480" i="46"/>
  <c r="G483" i="46"/>
  <c r="G513" i="46"/>
  <c r="G520" i="46"/>
  <c r="G553" i="46"/>
  <c r="G563" i="46"/>
  <c r="G594" i="46"/>
  <c r="G595" i="46"/>
  <c r="G644" i="46"/>
  <c r="G681" i="46"/>
  <c r="G682" i="46"/>
  <c r="G691" i="46"/>
  <c r="G719" i="46"/>
  <c r="G724" i="46"/>
  <c r="G736" i="46"/>
  <c r="G745" i="46"/>
  <c r="G850" i="46"/>
  <c r="G907" i="46"/>
  <c r="G910" i="46"/>
  <c r="G948" i="46"/>
  <c r="G463" i="46"/>
  <c r="G464" i="46"/>
  <c r="G465" i="46"/>
  <c r="G466" i="46"/>
  <c r="G471" i="46"/>
  <c r="G472" i="46"/>
  <c r="G475" i="46"/>
  <c r="G515" i="46"/>
  <c r="G555" i="46"/>
  <c r="G560" i="46"/>
  <c r="G566" i="46"/>
  <c r="G572" i="46"/>
  <c r="G589" i="46"/>
  <c r="G598" i="46"/>
  <c r="G607" i="46"/>
  <c r="G628" i="46"/>
  <c r="G636" i="46"/>
  <c r="G653" i="46"/>
  <c r="G659" i="46"/>
  <c r="G667" i="46"/>
  <c r="G673" i="46"/>
  <c r="G674" i="46"/>
  <c r="G676" i="46"/>
  <c r="G685" i="46"/>
  <c r="G688" i="46"/>
  <c r="G689" i="46"/>
  <c r="G699" i="46"/>
  <c r="G707" i="46"/>
  <c r="G746" i="46"/>
  <c r="G762" i="46"/>
  <c r="G768" i="46"/>
  <c r="G784" i="46"/>
  <c r="G807" i="46"/>
  <c r="G811" i="46"/>
  <c r="G819" i="46"/>
  <c r="G836" i="46"/>
  <c r="G847" i="46"/>
  <c r="G848" i="46"/>
  <c r="G849" i="46"/>
  <c r="G857" i="46"/>
  <c r="G863" i="46"/>
  <c r="G864" i="46"/>
  <c r="G871" i="46"/>
  <c r="G872" i="46"/>
  <c r="G878" i="46"/>
  <c r="G879" i="46"/>
  <c r="G885" i="46"/>
  <c r="G886" i="46"/>
  <c r="G887" i="46"/>
  <c r="G941" i="46"/>
  <c r="G943" i="46"/>
  <c r="G950" i="46"/>
  <c r="G854" i="46"/>
  <c r="G865" i="46"/>
  <c r="G866" i="46"/>
  <c r="G880" i="46"/>
  <c r="G888" i="46"/>
  <c r="G893" i="46"/>
  <c r="G894" i="46"/>
  <c r="G895" i="46"/>
  <c r="G929" i="46"/>
  <c r="G951" i="46"/>
  <c r="G846" i="46"/>
  <c r="G851" i="46"/>
  <c r="G859" i="46"/>
  <c r="G867" i="46"/>
  <c r="G873" i="46"/>
  <c r="G896" i="46"/>
  <c r="G899" i="46"/>
  <c r="G901" i="46"/>
  <c r="G902" i="46"/>
  <c r="G903" i="46"/>
  <c r="G947" i="46"/>
  <c r="G952" i="46"/>
  <c r="G953" i="46"/>
  <c r="G917" i="46"/>
  <c r="G918" i="46"/>
  <c r="G919" i="46"/>
  <c r="G942" i="46"/>
  <c r="G905" i="46"/>
  <c r="G912" i="46"/>
  <c r="G925" i="46"/>
  <c r="G926" i="46"/>
  <c r="G927" i="46"/>
  <c r="G933" i="46"/>
  <c r="G934" i="46"/>
  <c r="G935" i="46"/>
  <c r="G920" i="46"/>
  <c r="G937" i="46"/>
  <c r="G945" i="46"/>
  <c r="G949" i="46"/>
  <c r="G438" i="46"/>
  <c r="G446" i="46"/>
  <c r="G502" i="46"/>
  <c r="G330" i="46"/>
  <c r="G338" i="46"/>
  <c r="G346" i="46"/>
  <c r="G354" i="46"/>
  <c r="G362" i="46"/>
  <c r="G370" i="46"/>
  <c r="G378" i="46"/>
  <c r="G386" i="46"/>
  <c r="G394" i="46"/>
  <c r="G402" i="46"/>
  <c r="G410" i="46"/>
  <c r="G462" i="46"/>
  <c r="G510" i="46"/>
  <c r="G447" i="46"/>
  <c r="G470" i="46"/>
  <c r="G478" i="46"/>
  <c r="G486" i="46"/>
  <c r="G494" i="46"/>
  <c r="G322" i="46"/>
  <c r="G414" i="46"/>
  <c r="G422" i="46"/>
  <c r="G430" i="46"/>
  <c r="G448" i="46"/>
  <c r="G569" i="46"/>
  <c r="G550" i="46"/>
  <c r="G558" i="46"/>
  <c r="G640" i="46"/>
  <c r="G526" i="46"/>
  <c r="G534" i="46"/>
  <c r="G542" i="46"/>
  <c r="G454" i="46"/>
  <c r="G455" i="46"/>
  <c r="G518" i="46"/>
  <c r="G575" i="46"/>
  <c r="G585" i="46"/>
  <c r="G648" i="46"/>
  <c r="G656" i="46"/>
  <c r="G587" i="46"/>
  <c r="G567" i="46"/>
  <c r="G584" i="46"/>
  <c r="G592" i="46"/>
  <c r="G600" i="46"/>
  <c r="G608" i="46"/>
  <c r="G616" i="46"/>
  <c r="G624" i="46"/>
  <c r="G632" i="46"/>
  <c r="G671" i="46"/>
  <c r="G672" i="46"/>
  <c r="G695" i="46"/>
  <c r="G725" i="46"/>
  <c r="G679" i="46"/>
  <c r="G703" i="46"/>
  <c r="G631" i="46"/>
  <c r="G639" i="46"/>
  <c r="G647" i="46"/>
  <c r="G655" i="46"/>
  <c r="G799" i="46"/>
  <c r="G687" i="46"/>
  <c r="G721" i="46"/>
  <c r="G663" i="46"/>
  <c r="G723" i="46"/>
  <c r="G727" i="46"/>
  <c r="G764" i="46"/>
  <c r="G740" i="46"/>
  <c r="G788" i="46"/>
  <c r="G796" i="46"/>
  <c r="G756" i="46"/>
  <c r="G735" i="46"/>
  <c r="G710" i="46"/>
  <c r="G718" i="46"/>
  <c r="G722" i="46"/>
  <c r="G732" i="46"/>
  <c r="G748" i="46"/>
  <c r="G780" i="46"/>
  <c r="G741" i="46"/>
  <c r="G772" i="46"/>
  <c r="G890" i="46"/>
  <c r="G862" i="46"/>
  <c r="G830" i="46"/>
  <c r="G797" i="46"/>
  <c r="G870" i="46"/>
  <c r="G747" i="46"/>
  <c r="G755" i="46"/>
  <c r="G763" i="46"/>
  <c r="G771" i="46"/>
  <c r="G779" i="46"/>
  <c r="G787" i="46"/>
  <c r="G805" i="46"/>
  <c r="G806" i="46"/>
  <c r="G813" i="46"/>
  <c r="G820" i="46"/>
  <c r="G798" i="46"/>
  <c r="G814" i="46"/>
  <c r="G922" i="46"/>
  <c r="G876" i="46"/>
  <c r="G898" i="46"/>
  <c r="G930" i="46"/>
  <c r="G883" i="46"/>
  <c r="G906" i="46"/>
  <c r="G938" i="46"/>
  <c r="G954" i="46"/>
  <c r="G821" i="46"/>
  <c r="G829" i="46"/>
  <c r="G837" i="46"/>
  <c r="G845" i="46"/>
  <c r="G853" i="46"/>
  <c r="G861" i="46"/>
  <c r="G869" i="46"/>
  <c r="G875" i="46"/>
  <c r="G877" i="46"/>
  <c r="G882" i="46"/>
  <c r="G946" i="46"/>
  <c r="G914" i="46"/>
  <c r="G884" i="46"/>
  <c r="G892" i="46"/>
  <c r="G900" i="46"/>
  <c r="G908" i="46"/>
  <c r="G916" i="46"/>
  <c r="G924" i="46"/>
  <c r="G932" i="46"/>
  <c r="F315" i="46" l="1"/>
  <c r="E315" i="46"/>
  <c r="D315" i="46"/>
  <c r="C315" i="46" s="1"/>
  <c r="F314" i="46"/>
  <c r="E314" i="46"/>
  <c r="D314" i="46"/>
  <c r="C314" i="46" s="1"/>
  <c r="F313" i="46"/>
  <c r="E313" i="46"/>
  <c r="D313" i="46"/>
  <c r="C313" i="46" s="1"/>
  <c r="F312" i="46"/>
  <c r="E312" i="46"/>
  <c r="D312" i="46"/>
  <c r="C312" i="46" s="1"/>
  <c r="F311" i="46"/>
  <c r="E311" i="46"/>
  <c r="D311" i="46"/>
  <c r="C311" i="46" s="1"/>
  <c r="F310" i="46"/>
  <c r="E310" i="46"/>
  <c r="D310" i="46"/>
  <c r="C310" i="46" s="1"/>
  <c r="F309" i="46"/>
  <c r="E309" i="46"/>
  <c r="D309" i="46"/>
  <c r="C309" i="46" s="1"/>
  <c r="F308" i="46"/>
  <c r="E308" i="46"/>
  <c r="D308" i="46"/>
  <c r="C308" i="46" s="1"/>
  <c r="F307" i="46"/>
  <c r="E307" i="46"/>
  <c r="D307" i="46"/>
  <c r="C307" i="46" s="1"/>
  <c r="F306" i="46"/>
  <c r="E306" i="46"/>
  <c r="D306" i="46"/>
  <c r="C306" i="46" s="1"/>
  <c r="F305" i="46"/>
  <c r="E305" i="46"/>
  <c r="D305" i="46"/>
  <c r="C305" i="46" s="1"/>
  <c r="F304" i="46"/>
  <c r="E304" i="46"/>
  <c r="D304" i="46"/>
  <c r="C304" i="46" s="1"/>
  <c r="F303" i="46"/>
  <c r="E303" i="46"/>
  <c r="D303" i="46"/>
  <c r="C303" i="46" s="1"/>
  <c r="F302" i="46"/>
  <c r="E302" i="46"/>
  <c r="D302" i="46"/>
  <c r="C302" i="46" s="1"/>
  <c r="F301" i="46"/>
  <c r="E301" i="46"/>
  <c r="D301" i="46"/>
  <c r="C301" i="46" s="1"/>
  <c r="F300" i="46"/>
  <c r="E300" i="46"/>
  <c r="D300" i="46"/>
  <c r="C300" i="46" s="1"/>
  <c r="F299" i="46"/>
  <c r="E299" i="46"/>
  <c r="D299" i="46"/>
  <c r="C299" i="46" s="1"/>
  <c r="F298" i="46"/>
  <c r="E298" i="46"/>
  <c r="D298" i="46"/>
  <c r="C298" i="46" s="1"/>
  <c r="F297" i="46"/>
  <c r="E297" i="46"/>
  <c r="D297" i="46"/>
  <c r="C297" i="46" s="1"/>
  <c r="F296" i="46"/>
  <c r="E296" i="46"/>
  <c r="D296" i="46"/>
  <c r="C296" i="46" s="1"/>
  <c r="F295" i="46"/>
  <c r="E295" i="46"/>
  <c r="D295" i="46"/>
  <c r="C295" i="46" s="1"/>
  <c r="F294" i="46"/>
  <c r="E294" i="46"/>
  <c r="D294" i="46"/>
  <c r="C294" i="46" s="1"/>
  <c r="F293" i="46"/>
  <c r="E293" i="46"/>
  <c r="D293" i="46"/>
  <c r="C293" i="46" s="1"/>
  <c r="F292" i="46"/>
  <c r="E292" i="46"/>
  <c r="D292" i="46"/>
  <c r="C292" i="46" s="1"/>
  <c r="F291" i="46"/>
  <c r="E291" i="46"/>
  <c r="D291" i="46"/>
  <c r="C291" i="46" s="1"/>
  <c r="F290" i="46"/>
  <c r="E290" i="46"/>
  <c r="D290" i="46"/>
  <c r="C290" i="46" s="1"/>
  <c r="F289" i="46"/>
  <c r="E289" i="46"/>
  <c r="D289" i="46"/>
  <c r="C289" i="46" s="1"/>
  <c r="F288" i="46"/>
  <c r="E288" i="46"/>
  <c r="D288" i="46"/>
  <c r="C288" i="46" s="1"/>
  <c r="F287" i="46"/>
  <c r="E287" i="46"/>
  <c r="D287" i="46"/>
  <c r="C287" i="46" s="1"/>
  <c r="F286" i="46"/>
  <c r="E286" i="46"/>
  <c r="D286" i="46"/>
  <c r="C286" i="46" s="1"/>
  <c r="F285" i="46"/>
  <c r="E285" i="46"/>
  <c r="D285" i="46"/>
  <c r="C285" i="46" s="1"/>
  <c r="F284" i="46"/>
  <c r="E284" i="46"/>
  <c r="D284" i="46"/>
  <c r="C284" i="46" s="1"/>
  <c r="F283" i="46"/>
  <c r="E283" i="46"/>
  <c r="D283" i="46"/>
  <c r="C283" i="46" s="1"/>
  <c r="F282" i="46"/>
  <c r="E282" i="46"/>
  <c r="D282" i="46"/>
  <c r="C282" i="46" s="1"/>
  <c r="F281" i="46"/>
  <c r="E281" i="46"/>
  <c r="D281" i="46"/>
  <c r="C281" i="46" s="1"/>
  <c r="F280" i="46"/>
  <c r="E280" i="46"/>
  <c r="D280" i="46"/>
  <c r="C280" i="46" s="1"/>
  <c r="F279" i="46"/>
  <c r="E279" i="46"/>
  <c r="D279" i="46"/>
  <c r="C279" i="46" s="1"/>
  <c r="F278" i="46"/>
  <c r="E278" i="46"/>
  <c r="D278" i="46"/>
  <c r="C278" i="46" s="1"/>
  <c r="F277" i="46"/>
  <c r="E277" i="46"/>
  <c r="D277" i="46"/>
  <c r="C277" i="46" s="1"/>
  <c r="F276" i="46"/>
  <c r="E276" i="46"/>
  <c r="D276" i="46"/>
  <c r="C276" i="46" s="1"/>
  <c r="F275" i="46"/>
  <c r="E275" i="46"/>
  <c r="D275" i="46"/>
  <c r="C275" i="46" s="1"/>
  <c r="F274" i="46"/>
  <c r="E274" i="46"/>
  <c r="D274" i="46"/>
  <c r="C274" i="46" s="1"/>
  <c r="F273" i="46"/>
  <c r="E273" i="46"/>
  <c r="D273" i="46"/>
  <c r="C273" i="46" s="1"/>
  <c r="F272" i="46"/>
  <c r="E272" i="46"/>
  <c r="D272" i="46"/>
  <c r="C272" i="46" s="1"/>
  <c r="F271" i="46"/>
  <c r="E271" i="46"/>
  <c r="D271" i="46"/>
  <c r="C271" i="46" s="1"/>
  <c r="F270" i="46"/>
  <c r="E270" i="46"/>
  <c r="D270" i="46"/>
  <c r="C270" i="46" s="1"/>
  <c r="F269" i="46"/>
  <c r="E269" i="46"/>
  <c r="D269" i="46"/>
  <c r="C269" i="46" s="1"/>
  <c r="F268" i="46"/>
  <c r="E268" i="46"/>
  <c r="D268" i="46"/>
  <c r="C268" i="46" s="1"/>
  <c r="F267" i="46"/>
  <c r="E267" i="46"/>
  <c r="D267" i="46"/>
  <c r="C267" i="46" s="1"/>
  <c r="F266" i="46"/>
  <c r="E266" i="46"/>
  <c r="D266" i="46"/>
  <c r="C266" i="46" s="1"/>
  <c r="F265" i="46"/>
  <c r="E265" i="46"/>
  <c r="D265" i="46"/>
  <c r="C265" i="46" s="1"/>
  <c r="F264" i="46"/>
  <c r="E264" i="46"/>
  <c r="D264" i="46"/>
  <c r="C264" i="46" s="1"/>
  <c r="F263" i="46"/>
  <c r="E263" i="46"/>
  <c r="D263" i="46"/>
  <c r="C263" i="46" s="1"/>
  <c r="F262" i="46"/>
  <c r="E262" i="46"/>
  <c r="D262" i="46"/>
  <c r="C262" i="46" s="1"/>
  <c r="F261" i="46"/>
  <c r="E261" i="46"/>
  <c r="D261" i="46"/>
  <c r="C261" i="46" s="1"/>
  <c r="F260" i="46"/>
  <c r="E260" i="46"/>
  <c r="D260" i="46"/>
  <c r="C260" i="46" s="1"/>
  <c r="F259" i="46"/>
  <c r="E259" i="46"/>
  <c r="D259" i="46"/>
  <c r="C259" i="46" s="1"/>
  <c r="F258" i="46"/>
  <c r="E258" i="46"/>
  <c r="D258" i="46"/>
  <c r="C258" i="46" s="1"/>
  <c r="F257" i="46"/>
  <c r="E257" i="46"/>
  <c r="D257" i="46"/>
  <c r="C257" i="46" s="1"/>
  <c r="F256" i="46"/>
  <c r="E256" i="46"/>
  <c r="D256" i="46"/>
  <c r="C256" i="46" s="1"/>
  <c r="F255" i="46"/>
  <c r="E255" i="46"/>
  <c r="D255" i="46"/>
  <c r="C255" i="46" s="1"/>
  <c r="F254" i="46"/>
  <c r="E254" i="46"/>
  <c r="D254" i="46"/>
  <c r="C254" i="46" s="1"/>
  <c r="F253" i="46"/>
  <c r="E253" i="46"/>
  <c r="D253" i="46"/>
  <c r="C253" i="46" s="1"/>
  <c r="F252" i="46"/>
  <c r="E252" i="46"/>
  <c r="D252" i="46"/>
  <c r="C252" i="46" s="1"/>
  <c r="F251" i="46"/>
  <c r="E251" i="46"/>
  <c r="D251" i="46"/>
  <c r="C251" i="46" s="1"/>
  <c r="F250" i="46"/>
  <c r="E250" i="46"/>
  <c r="D250" i="46"/>
  <c r="C250" i="46" s="1"/>
  <c r="F249" i="46"/>
  <c r="E249" i="46"/>
  <c r="D249" i="46"/>
  <c r="C249" i="46" s="1"/>
  <c r="F248" i="46"/>
  <c r="E248" i="46"/>
  <c r="D248" i="46"/>
  <c r="C248" i="46" s="1"/>
  <c r="F247" i="46"/>
  <c r="E247" i="46"/>
  <c r="D247" i="46"/>
  <c r="C247" i="46" s="1"/>
  <c r="F246" i="46"/>
  <c r="E246" i="46"/>
  <c r="D246" i="46"/>
  <c r="C246" i="46" s="1"/>
  <c r="F245" i="46"/>
  <c r="E245" i="46"/>
  <c r="D245" i="46"/>
  <c r="C245" i="46" s="1"/>
  <c r="F244" i="46"/>
  <c r="E244" i="46"/>
  <c r="D244" i="46"/>
  <c r="C244" i="46" s="1"/>
  <c r="F243" i="46"/>
  <c r="E243" i="46"/>
  <c r="D243" i="46"/>
  <c r="C243" i="46" s="1"/>
  <c r="F242" i="46"/>
  <c r="E242" i="46"/>
  <c r="D242" i="46"/>
  <c r="C242" i="46" s="1"/>
  <c r="F241" i="46"/>
  <c r="E241" i="46"/>
  <c r="D241" i="46"/>
  <c r="C241" i="46" s="1"/>
  <c r="F240" i="46"/>
  <c r="E240" i="46"/>
  <c r="D240" i="46"/>
  <c r="C240" i="46" s="1"/>
  <c r="F239" i="46"/>
  <c r="E239" i="46"/>
  <c r="D239" i="46"/>
  <c r="C239" i="46" s="1"/>
  <c r="F238" i="46"/>
  <c r="E238" i="46"/>
  <c r="D238" i="46"/>
  <c r="C238" i="46" s="1"/>
  <c r="F237" i="46"/>
  <c r="E237" i="46"/>
  <c r="D237" i="46"/>
  <c r="C237" i="46" s="1"/>
  <c r="F236" i="46"/>
  <c r="E236" i="46"/>
  <c r="D236" i="46"/>
  <c r="C236" i="46" s="1"/>
  <c r="F235" i="46"/>
  <c r="E235" i="46"/>
  <c r="D235" i="46"/>
  <c r="C235" i="46" s="1"/>
  <c r="F234" i="46"/>
  <c r="E234" i="46"/>
  <c r="D234" i="46"/>
  <c r="C234" i="46" s="1"/>
  <c r="F233" i="46"/>
  <c r="E233" i="46"/>
  <c r="D233" i="46"/>
  <c r="C233" i="46" s="1"/>
  <c r="F232" i="46"/>
  <c r="E232" i="46"/>
  <c r="D232" i="46"/>
  <c r="C232" i="46" s="1"/>
  <c r="F231" i="46"/>
  <c r="E231" i="46"/>
  <c r="D231" i="46"/>
  <c r="C231" i="46" s="1"/>
  <c r="F230" i="46"/>
  <c r="E230" i="46"/>
  <c r="D230" i="46"/>
  <c r="C230" i="46" s="1"/>
  <c r="F229" i="46"/>
  <c r="E229" i="46"/>
  <c r="D229" i="46"/>
  <c r="C229" i="46" s="1"/>
  <c r="F228" i="46"/>
  <c r="E228" i="46"/>
  <c r="D228" i="46"/>
  <c r="C228" i="46" s="1"/>
  <c r="F227" i="46"/>
  <c r="E227" i="46"/>
  <c r="D227" i="46"/>
  <c r="C227" i="46" s="1"/>
  <c r="F226" i="46"/>
  <c r="E226" i="46"/>
  <c r="D226" i="46"/>
  <c r="C226" i="46" s="1"/>
  <c r="F225" i="46"/>
  <c r="E225" i="46"/>
  <c r="D225" i="46"/>
  <c r="C225" i="46" s="1"/>
  <c r="F224" i="46"/>
  <c r="E224" i="46"/>
  <c r="D224" i="46"/>
  <c r="C224" i="46" s="1"/>
  <c r="F223" i="46"/>
  <c r="E223" i="46"/>
  <c r="D223" i="46"/>
  <c r="C223" i="46" s="1"/>
  <c r="F222" i="46"/>
  <c r="E222" i="46"/>
  <c r="D222" i="46"/>
  <c r="C222" i="46" s="1"/>
  <c r="F221" i="46"/>
  <c r="E221" i="46"/>
  <c r="D221" i="46"/>
  <c r="C221" i="46" s="1"/>
  <c r="F220" i="46"/>
  <c r="E220" i="46"/>
  <c r="D220" i="46"/>
  <c r="C220" i="46" s="1"/>
  <c r="F219" i="46"/>
  <c r="E219" i="46"/>
  <c r="D219" i="46"/>
  <c r="C219" i="46" s="1"/>
  <c r="F218" i="46"/>
  <c r="E218" i="46"/>
  <c r="D218" i="46"/>
  <c r="C218" i="46" s="1"/>
  <c r="F217" i="46"/>
  <c r="E217" i="46"/>
  <c r="D217" i="46"/>
  <c r="C217" i="46" s="1"/>
  <c r="F216" i="46"/>
  <c r="E216" i="46"/>
  <c r="D216" i="46"/>
  <c r="C216" i="46" s="1"/>
  <c r="F215" i="46"/>
  <c r="E215" i="46"/>
  <c r="D215" i="46"/>
  <c r="C215" i="46" s="1"/>
  <c r="F214" i="46"/>
  <c r="E214" i="46"/>
  <c r="D214" i="46"/>
  <c r="C214" i="46" s="1"/>
  <c r="F213" i="46"/>
  <c r="E213" i="46"/>
  <c r="D213" i="46"/>
  <c r="C213" i="46" s="1"/>
  <c r="F212" i="46"/>
  <c r="E212" i="46"/>
  <c r="D212" i="46"/>
  <c r="C212" i="46" s="1"/>
  <c r="F211" i="46"/>
  <c r="E211" i="46"/>
  <c r="D211" i="46"/>
  <c r="C211" i="46" s="1"/>
  <c r="F210" i="46"/>
  <c r="E210" i="46"/>
  <c r="D210" i="46"/>
  <c r="C210" i="46" s="1"/>
  <c r="F209" i="46"/>
  <c r="E209" i="46"/>
  <c r="D209" i="46"/>
  <c r="C209" i="46" s="1"/>
  <c r="F208" i="46"/>
  <c r="E208" i="46"/>
  <c r="D208" i="46"/>
  <c r="C208" i="46" s="1"/>
  <c r="F207" i="46"/>
  <c r="E207" i="46"/>
  <c r="D207" i="46"/>
  <c r="C207" i="46" s="1"/>
  <c r="F206" i="46"/>
  <c r="E206" i="46"/>
  <c r="D206" i="46"/>
  <c r="C206" i="46" s="1"/>
  <c r="F205" i="46"/>
  <c r="E205" i="46"/>
  <c r="D205" i="46"/>
  <c r="C205" i="46" s="1"/>
  <c r="F204" i="46"/>
  <c r="E204" i="46"/>
  <c r="D204" i="46"/>
  <c r="C204" i="46" s="1"/>
  <c r="F203" i="46"/>
  <c r="E203" i="46"/>
  <c r="D203" i="46"/>
  <c r="C203" i="46" s="1"/>
  <c r="F202" i="46"/>
  <c r="E202" i="46"/>
  <c r="D202" i="46"/>
  <c r="C202" i="46" s="1"/>
  <c r="F201" i="46"/>
  <c r="E201" i="46"/>
  <c r="D201" i="46"/>
  <c r="C201" i="46" s="1"/>
  <c r="F200" i="46"/>
  <c r="E200" i="46"/>
  <c r="D200" i="46"/>
  <c r="C200" i="46" s="1"/>
  <c r="F199" i="46"/>
  <c r="E199" i="46"/>
  <c r="D199" i="46"/>
  <c r="C199" i="46" s="1"/>
  <c r="F198" i="46"/>
  <c r="E198" i="46"/>
  <c r="D198" i="46"/>
  <c r="C198" i="46" s="1"/>
  <c r="F197" i="46"/>
  <c r="E197" i="46"/>
  <c r="D197" i="46"/>
  <c r="C197" i="46" s="1"/>
  <c r="F196" i="46"/>
  <c r="E196" i="46"/>
  <c r="D196" i="46"/>
  <c r="C196" i="46" s="1"/>
  <c r="F195" i="46"/>
  <c r="E195" i="46"/>
  <c r="D195" i="46"/>
  <c r="C195" i="46" s="1"/>
  <c r="F194" i="46"/>
  <c r="E194" i="46"/>
  <c r="D194" i="46"/>
  <c r="C194" i="46" s="1"/>
  <c r="F193" i="46"/>
  <c r="E193" i="46"/>
  <c r="D193" i="46"/>
  <c r="C193" i="46" s="1"/>
  <c r="F192" i="46"/>
  <c r="E192" i="46"/>
  <c r="D192" i="46"/>
  <c r="C192" i="46" s="1"/>
  <c r="F191" i="46"/>
  <c r="E191" i="46"/>
  <c r="D191" i="46"/>
  <c r="C191" i="46" s="1"/>
  <c r="F190" i="46"/>
  <c r="E190" i="46"/>
  <c r="D190" i="46"/>
  <c r="C190" i="46" s="1"/>
  <c r="F189" i="46"/>
  <c r="E189" i="46"/>
  <c r="D189" i="46"/>
  <c r="C189" i="46" s="1"/>
  <c r="F188" i="46"/>
  <c r="E188" i="46"/>
  <c r="D188" i="46"/>
  <c r="C188" i="46" s="1"/>
  <c r="F187" i="46"/>
  <c r="E187" i="46"/>
  <c r="D187" i="46"/>
  <c r="C187" i="46" s="1"/>
  <c r="F186" i="46"/>
  <c r="E186" i="46"/>
  <c r="D186" i="46"/>
  <c r="C186" i="46" s="1"/>
  <c r="F185" i="46"/>
  <c r="E185" i="46"/>
  <c r="D185" i="46"/>
  <c r="C185" i="46" s="1"/>
  <c r="F184" i="46"/>
  <c r="E184" i="46"/>
  <c r="D184" i="46"/>
  <c r="C184" i="46" s="1"/>
  <c r="F183" i="46"/>
  <c r="E183" i="46"/>
  <c r="D183" i="46"/>
  <c r="C183" i="46" s="1"/>
  <c r="F182" i="46"/>
  <c r="E182" i="46"/>
  <c r="D182" i="46"/>
  <c r="C182" i="46" s="1"/>
  <c r="F181" i="46"/>
  <c r="E181" i="46"/>
  <c r="D181" i="46"/>
  <c r="C181" i="46" s="1"/>
  <c r="F180" i="46"/>
  <c r="E180" i="46"/>
  <c r="D180" i="46"/>
  <c r="C180" i="46" s="1"/>
  <c r="F179" i="46"/>
  <c r="E179" i="46"/>
  <c r="D179" i="46"/>
  <c r="C179" i="46" s="1"/>
  <c r="F178" i="46"/>
  <c r="E178" i="46"/>
  <c r="D178" i="46"/>
  <c r="C178" i="46" s="1"/>
  <c r="F177" i="46"/>
  <c r="E177" i="46"/>
  <c r="D177" i="46"/>
  <c r="C177" i="46" s="1"/>
  <c r="F176" i="46"/>
  <c r="E176" i="46"/>
  <c r="D176" i="46"/>
  <c r="C176" i="46" s="1"/>
  <c r="F175" i="46"/>
  <c r="E175" i="46"/>
  <c r="D175" i="46"/>
  <c r="C175" i="46" s="1"/>
  <c r="F174" i="46"/>
  <c r="E174" i="46"/>
  <c r="D174" i="46"/>
  <c r="C174" i="46" s="1"/>
  <c r="F173" i="46"/>
  <c r="E173" i="46"/>
  <c r="D173" i="46"/>
  <c r="C173" i="46" s="1"/>
  <c r="F172" i="46"/>
  <c r="E172" i="46"/>
  <c r="D172" i="46"/>
  <c r="C172" i="46" s="1"/>
  <c r="F171" i="46"/>
  <c r="E171" i="46"/>
  <c r="D171" i="46"/>
  <c r="C171" i="46" s="1"/>
  <c r="F170" i="46"/>
  <c r="E170" i="46"/>
  <c r="D170" i="46"/>
  <c r="C170" i="46" s="1"/>
  <c r="F169" i="46"/>
  <c r="E169" i="46"/>
  <c r="D169" i="46"/>
  <c r="C169" i="46" s="1"/>
  <c r="F168" i="46"/>
  <c r="E168" i="46"/>
  <c r="D168" i="46"/>
  <c r="C168" i="46" s="1"/>
  <c r="F167" i="46"/>
  <c r="E167" i="46"/>
  <c r="D167" i="46"/>
  <c r="C167" i="46" s="1"/>
  <c r="F166" i="46"/>
  <c r="E166" i="46"/>
  <c r="D166" i="46"/>
  <c r="C166" i="46" s="1"/>
  <c r="F165" i="46"/>
  <c r="E165" i="46"/>
  <c r="D165" i="46"/>
  <c r="C165" i="46" s="1"/>
  <c r="F164" i="46"/>
  <c r="E164" i="46"/>
  <c r="D164" i="46"/>
  <c r="C164" i="46" s="1"/>
  <c r="F163" i="46"/>
  <c r="E163" i="46"/>
  <c r="D163" i="46"/>
  <c r="C163" i="46" s="1"/>
  <c r="F162" i="46"/>
  <c r="E162" i="46"/>
  <c r="D162" i="46"/>
  <c r="C162" i="46" s="1"/>
  <c r="F161" i="46"/>
  <c r="E161" i="46"/>
  <c r="D161" i="46"/>
  <c r="C161" i="46" s="1"/>
  <c r="F160" i="46"/>
  <c r="E160" i="46"/>
  <c r="D160" i="46"/>
  <c r="C160" i="46" s="1"/>
  <c r="F159" i="46"/>
  <c r="E159" i="46"/>
  <c r="D159" i="46"/>
  <c r="C159" i="46" s="1"/>
  <c r="F158" i="46"/>
  <c r="E158" i="46"/>
  <c r="D158" i="46"/>
  <c r="C158" i="46" s="1"/>
  <c r="F157" i="46"/>
  <c r="E157" i="46"/>
  <c r="D157" i="46"/>
  <c r="C157" i="46" s="1"/>
  <c r="F156" i="46"/>
  <c r="E156" i="46"/>
  <c r="D156" i="46"/>
  <c r="C156" i="46" s="1"/>
  <c r="F155" i="46"/>
  <c r="E155" i="46"/>
  <c r="D155" i="46"/>
  <c r="C155" i="46" s="1"/>
  <c r="F154" i="46"/>
  <c r="E154" i="46"/>
  <c r="D154" i="46"/>
  <c r="C154" i="46" s="1"/>
  <c r="F153" i="46"/>
  <c r="E153" i="46"/>
  <c r="D153" i="46"/>
  <c r="C153" i="46" s="1"/>
  <c r="F152" i="46"/>
  <c r="E152" i="46"/>
  <c r="D152" i="46"/>
  <c r="C152" i="46" s="1"/>
  <c r="F151" i="46"/>
  <c r="E151" i="46"/>
  <c r="D151" i="46"/>
  <c r="C151" i="46" s="1"/>
  <c r="F150" i="46"/>
  <c r="E150" i="46"/>
  <c r="D150" i="46"/>
  <c r="C150" i="46" s="1"/>
  <c r="F149" i="46"/>
  <c r="E149" i="46"/>
  <c r="D149" i="46"/>
  <c r="C149" i="46" s="1"/>
  <c r="F148" i="46"/>
  <c r="E148" i="46"/>
  <c r="D148" i="46"/>
  <c r="C148" i="46" s="1"/>
  <c r="F147" i="46"/>
  <c r="E147" i="46"/>
  <c r="D147" i="46"/>
  <c r="C147" i="46" s="1"/>
  <c r="F146" i="46"/>
  <c r="E146" i="46"/>
  <c r="D146" i="46"/>
  <c r="C146" i="46" s="1"/>
  <c r="F145" i="46"/>
  <c r="E145" i="46"/>
  <c r="D145" i="46"/>
  <c r="C145" i="46" s="1"/>
  <c r="F144" i="46"/>
  <c r="E144" i="46"/>
  <c r="D144" i="46"/>
  <c r="C144" i="46" s="1"/>
  <c r="F143" i="46"/>
  <c r="E143" i="46"/>
  <c r="D143" i="46"/>
  <c r="C143" i="46" s="1"/>
  <c r="F142" i="46"/>
  <c r="E142" i="46"/>
  <c r="D142" i="46"/>
  <c r="C142" i="46" s="1"/>
  <c r="F141" i="46"/>
  <c r="E141" i="46"/>
  <c r="D141" i="46"/>
  <c r="C141" i="46" s="1"/>
  <c r="F140" i="46"/>
  <c r="E140" i="46"/>
  <c r="D140" i="46"/>
  <c r="C140" i="46" s="1"/>
  <c r="F139" i="46"/>
  <c r="E139" i="46"/>
  <c r="D139" i="46"/>
  <c r="C139" i="46" s="1"/>
  <c r="F138" i="46"/>
  <c r="E138" i="46"/>
  <c r="D138" i="46"/>
  <c r="C138" i="46" s="1"/>
  <c r="F137" i="46"/>
  <c r="E137" i="46"/>
  <c r="D137" i="46"/>
  <c r="C137" i="46" s="1"/>
  <c r="F136" i="46"/>
  <c r="E136" i="46"/>
  <c r="D136" i="46"/>
  <c r="C136" i="46" s="1"/>
  <c r="F135" i="46"/>
  <c r="E135" i="46"/>
  <c r="D135" i="46"/>
  <c r="C135" i="46" s="1"/>
  <c r="F134" i="46"/>
  <c r="E134" i="46"/>
  <c r="D134" i="46"/>
  <c r="C134" i="46" s="1"/>
  <c r="F133" i="46"/>
  <c r="E133" i="46"/>
  <c r="D133" i="46"/>
  <c r="C133" i="46" s="1"/>
  <c r="F132" i="46"/>
  <c r="E132" i="46"/>
  <c r="D132" i="46"/>
  <c r="C132" i="46" s="1"/>
  <c r="F131" i="46"/>
  <c r="E131" i="46"/>
  <c r="D131" i="46"/>
  <c r="C131" i="46" s="1"/>
  <c r="F130" i="46"/>
  <c r="E130" i="46"/>
  <c r="D130" i="46"/>
  <c r="C130" i="46" s="1"/>
  <c r="F129" i="46"/>
  <c r="E129" i="46"/>
  <c r="D129" i="46"/>
  <c r="C129" i="46" s="1"/>
  <c r="F128" i="46"/>
  <c r="E128" i="46"/>
  <c r="D128" i="46"/>
  <c r="C128" i="46" s="1"/>
  <c r="F127" i="46"/>
  <c r="E127" i="46"/>
  <c r="D127" i="46"/>
  <c r="C127" i="46" s="1"/>
  <c r="F126" i="46"/>
  <c r="E126" i="46"/>
  <c r="D126" i="46"/>
  <c r="C126" i="46" s="1"/>
  <c r="F125" i="46"/>
  <c r="E125" i="46"/>
  <c r="D125" i="46"/>
  <c r="C125" i="46" s="1"/>
  <c r="F124" i="46"/>
  <c r="E124" i="46"/>
  <c r="D124" i="46"/>
  <c r="C124" i="46" s="1"/>
  <c r="F123" i="46"/>
  <c r="E123" i="46"/>
  <c r="D123" i="46"/>
  <c r="C123" i="46" s="1"/>
  <c r="F122" i="46"/>
  <c r="E122" i="46"/>
  <c r="D122" i="46"/>
  <c r="C122" i="46" s="1"/>
  <c r="F121" i="46"/>
  <c r="E121" i="46"/>
  <c r="D121" i="46"/>
  <c r="C121" i="46" s="1"/>
  <c r="F120" i="46"/>
  <c r="E120" i="46"/>
  <c r="D120" i="46"/>
  <c r="C120" i="46" s="1"/>
  <c r="F119" i="46"/>
  <c r="E119" i="46"/>
  <c r="D119" i="46"/>
  <c r="C119" i="46" s="1"/>
  <c r="F118" i="46"/>
  <c r="E118" i="46"/>
  <c r="D118" i="46"/>
  <c r="C118" i="46" s="1"/>
  <c r="F117" i="46"/>
  <c r="E117" i="46"/>
  <c r="D117" i="46"/>
  <c r="C117" i="46" s="1"/>
  <c r="F116" i="46"/>
  <c r="E116" i="46"/>
  <c r="D116" i="46"/>
  <c r="C116" i="46" s="1"/>
  <c r="F115" i="46"/>
  <c r="E115" i="46"/>
  <c r="D115" i="46"/>
  <c r="C115" i="46" s="1"/>
  <c r="F114" i="46"/>
  <c r="E114" i="46"/>
  <c r="D114" i="46"/>
  <c r="C114" i="46" s="1"/>
  <c r="F113" i="46"/>
  <c r="E113" i="46"/>
  <c r="D113" i="46"/>
  <c r="C113" i="46" s="1"/>
  <c r="F112" i="46"/>
  <c r="E112" i="46"/>
  <c r="D112" i="46"/>
  <c r="C112" i="46" s="1"/>
  <c r="F111" i="46"/>
  <c r="E111" i="46"/>
  <c r="D111" i="46"/>
  <c r="C111" i="46" s="1"/>
  <c r="F110" i="46"/>
  <c r="E110" i="46"/>
  <c r="D110" i="46"/>
  <c r="C110" i="46" s="1"/>
  <c r="F109" i="46"/>
  <c r="E109" i="46"/>
  <c r="D109" i="46"/>
  <c r="C109" i="46" s="1"/>
  <c r="F108" i="46"/>
  <c r="E108" i="46"/>
  <c r="D108" i="46"/>
  <c r="C108" i="46" s="1"/>
  <c r="F107" i="46"/>
  <c r="E107" i="46"/>
  <c r="D107" i="46"/>
  <c r="C107" i="46" s="1"/>
  <c r="F106" i="46"/>
  <c r="E106" i="46"/>
  <c r="D106" i="46"/>
  <c r="C106" i="46" s="1"/>
  <c r="F105" i="46"/>
  <c r="E105" i="46"/>
  <c r="D105" i="46"/>
  <c r="C105" i="46" s="1"/>
  <c r="F104" i="46"/>
  <c r="E104" i="46"/>
  <c r="D104" i="46"/>
  <c r="C104" i="46" s="1"/>
  <c r="F103" i="46"/>
  <c r="E103" i="46"/>
  <c r="D103" i="46"/>
  <c r="C103" i="46" s="1"/>
  <c r="F102" i="46"/>
  <c r="E102" i="46"/>
  <c r="D102" i="46"/>
  <c r="C102" i="46" s="1"/>
  <c r="F101" i="46"/>
  <c r="E101" i="46"/>
  <c r="D101" i="46"/>
  <c r="C101" i="46" s="1"/>
  <c r="F100" i="46"/>
  <c r="E100" i="46"/>
  <c r="D100" i="46"/>
  <c r="C100" i="46" s="1"/>
  <c r="F99" i="46"/>
  <c r="E99" i="46"/>
  <c r="D99" i="46"/>
  <c r="C99" i="46" s="1"/>
  <c r="F98" i="46"/>
  <c r="E98" i="46"/>
  <c r="D98" i="46"/>
  <c r="C98" i="46" s="1"/>
  <c r="F97" i="46"/>
  <c r="E97" i="46"/>
  <c r="D97" i="46"/>
  <c r="C97" i="46" s="1"/>
  <c r="F96" i="46"/>
  <c r="E96" i="46"/>
  <c r="D96" i="46"/>
  <c r="C96" i="46" s="1"/>
  <c r="F95" i="46"/>
  <c r="E95" i="46"/>
  <c r="D95" i="46"/>
  <c r="C95" i="46" s="1"/>
  <c r="F94" i="46"/>
  <c r="E94" i="46"/>
  <c r="D94" i="46"/>
  <c r="C94" i="46" s="1"/>
  <c r="F93" i="46"/>
  <c r="E93" i="46"/>
  <c r="D93" i="46"/>
  <c r="C93" i="46" s="1"/>
  <c r="F92" i="46"/>
  <c r="E92" i="46"/>
  <c r="D92" i="46"/>
  <c r="C92" i="46" s="1"/>
  <c r="F91" i="46"/>
  <c r="E91" i="46"/>
  <c r="D91" i="46"/>
  <c r="C91" i="46" s="1"/>
  <c r="F90" i="46"/>
  <c r="E90" i="46"/>
  <c r="D90" i="46"/>
  <c r="C90" i="46" s="1"/>
  <c r="F89" i="46"/>
  <c r="E89" i="46"/>
  <c r="D89" i="46"/>
  <c r="C89" i="46" s="1"/>
  <c r="F88" i="46"/>
  <c r="E88" i="46"/>
  <c r="D88" i="46"/>
  <c r="C88" i="46" s="1"/>
  <c r="F87" i="46"/>
  <c r="E87" i="46"/>
  <c r="D87" i="46"/>
  <c r="C87" i="46" s="1"/>
  <c r="F86" i="46"/>
  <c r="E86" i="46"/>
  <c r="D86" i="46"/>
  <c r="C86" i="46" s="1"/>
  <c r="F85" i="46"/>
  <c r="E85" i="46"/>
  <c r="D85" i="46"/>
  <c r="C85" i="46" s="1"/>
  <c r="F84" i="46"/>
  <c r="E84" i="46"/>
  <c r="D84" i="46"/>
  <c r="C84" i="46" s="1"/>
  <c r="F83" i="46"/>
  <c r="E83" i="46"/>
  <c r="D83" i="46"/>
  <c r="C83" i="46" s="1"/>
  <c r="F82" i="46"/>
  <c r="E82" i="46"/>
  <c r="D82" i="46"/>
  <c r="C82" i="46" s="1"/>
  <c r="F81" i="46"/>
  <c r="E81" i="46"/>
  <c r="D81" i="46"/>
  <c r="C81" i="46" s="1"/>
  <c r="F80" i="46"/>
  <c r="E80" i="46"/>
  <c r="D80" i="46"/>
  <c r="C80" i="46" s="1"/>
  <c r="F79" i="46"/>
  <c r="E79" i="46"/>
  <c r="D79" i="46"/>
  <c r="C79" i="46" s="1"/>
  <c r="F78" i="46"/>
  <c r="E78" i="46"/>
  <c r="D78" i="46"/>
  <c r="C78" i="46" s="1"/>
  <c r="F77" i="46"/>
  <c r="E77" i="46"/>
  <c r="D77" i="46"/>
  <c r="C77" i="46" s="1"/>
  <c r="F76" i="46"/>
  <c r="E76" i="46"/>
  <c r="D76" i="46"/>
  <c r="C76" i="46" s="1"/>
  <c r="F75" i="46"/>
  <c r="E75" i="46"/>
  <c r="D75" i="46"/>
  <c r="C75" i="46" s="1"/>
  <c r="F74" i="46"/>
  <c r="E74" i="46"/>
  <c r="D74" i="46"/>
  <c r="C74" i="46" s="1"/>
  <c r="F73" i="46"/>
  <c r="E73" i="46"/>
  <c r="D73" i="46"/>
  <c r="C73" i="46" s="1"/>
  <c r="F72" i="46"/>
  <c r="E72" i="46"/>
  <c r="D72" i="46"/>
  <c r="C72" i="46" s="1"/>
  <c r="F71" i="46"/>
  <c r="E71" i="46"/>
  <c r="D71" i="46"/>
  <c r="C71" i="46" s="1"/>
  <c r="F70" i="46"/>
  <c r="E70" i="46"/>
  <c r="D70" i="46"/>
  <c r="C70" i="46" s="1"/>
  <c r="F69" i="46"/>
  <c r="E69" i="46"/>
  <c r="D69" i="46"/>
  <c r="C69" i="46" s="1"/>
  <c r="F68" i="46"/>
  <c r="E68" i="46"/>
  <c r="D68" i="46"/>
  <c r="C68" i="46" s="1"/>
  <c r="F67" i="46"/>
  <c r="E67" i="46"/>
  <c r="D67" i="46"/>
  <c r="C67" i="46" s="1"/>
  <c r="F66" i="46"/>
  <c r="E66" i="46"/>
  <c r="D66" i="46"/>
  <c r="C66" i="46" s="1"/>
  <c r="F65" i="46"/>
  <c r="E65" i="46"/>
  <c r="D65" i="46"/>
  <c r="C65" i="46" s="1"/>
  <c r="F64" i="46"/>
  <c r="E64" i="46"/>
  <c r="D64" i="46"/>
  <c r="C64" i="46" s="1"/>
  <c r="F63" i="46"/>
  <c r="E63" i="46"/>
  <c r="D63" i="46"/>
  <c r="C63" i="46" s="1"/>
  <c r="F62" i="46"/>
  <c r="E62" i="46"/>
  <c r="D62" i="46"/>
  <c r="C62" i="46" s="1"/>
  <c r="F61" i="46"/>
  <c r="E61" i="46"/>
  <c r="D61" i="46"/>
  <c r="C61" i="46" s="1"/>
  <c r="F60" i="46"/>
  <c r="E60" i="46"/>
  <c r="D60" i="46"/>
  <c r="C60" i="46" s="1"/>
  <c r="F59" i="46"/>
  <c r="E59" i="46"/>
  <c r="D59" i="46"/>
  <c r="C59" i="46" s="1"/>
  <c r="F58" i="46"/>
  <c r="E58" i="46"/>
  <c r="D58" i="46"/>
  <c r="C58" i="46" s="1"/>
  <c r="F57" i="46"/>
  <c r="E57" i="46"/>
  <c r="D57" i="46"/>
  <c r="C57" i="46" s="1"/>
  <c r="F56" i="46"/>
  <c r="E56" i="46"/>
  <c r="D56" i="46"/>
  <c r="C56" i="46" s="1"/>
  <c r="F55" i="46"/>
  <c r="E55" i="46"/>
  <c r="D55" i="46"/>
  <c r="C55" i="46" s="1"/>
  <c r="F54" i="46"/>
  <c r="E54" i="46"/>
  <c r="D54" i="46"/>
  <c r="C54" i="46" s="1"/>
  <c r="F53" i="46"/>
  <c r="E53" i="46"/>
  <c r="D53" i="46"/>
  <c r="C53" i="46" s="1"/>
  <c r="F52" i="46"/>
  <c r="E52" i="46"/>
  <c r="D52" i="46"/>
  <c r="C52" i="46" s="1"/>
  <c r="F51" i="46"/>
  <c r="E51" i="46"/>
  <c r="D51" i="46"/>
  <c r="C51" i="46" s="1"/>
  <c r="F50" i="46"/>
  <c r="E50" i="46"/>
  <c r="D50" i="46"/>
  <c r="C50" i="46" s="1"/>
  <c r="F49" i="46"/>
  <c r="E49" i="46"/>
  <c r="D49" i="46"/>
  <c r="C49" i="46" s="1"/>
  <c r="F48" i="46"/>
  <c r="E48" i="46"/>
  <c r="D48" i="46"/>
  <c r="C48" i="46" s="1"/>
  <c r="F47" i="46"/>
  <c r="E47" i="46"/>
  <c r="D47" i="46"/>
  <c r="C47" i="46" s="1"/>
  <c r="F46" i="46"/>
  <c r="E46" i="46"/>
  <c r="D46" i="46"/>
  <c r="C46" i="46" s="1"/>
  <c r="F45" i="46"/>
  <c r="E45" i="46"/>
  <c r="D45" i="46"/>
  <c r="C45" i="46" s="1"/>
  <c r="F44" i="46"/>
  <c r="E44" i="46"/>
  <c r="D44" i="46"/>
  <c r="C44" i="46" s="1"/>
  <c r="F43" i="46"/>
  <c r="E43" i="46"/>
  <c r="D43" i="46"/>
  <c r="C43" i="46" s="1"/>
  <c r="F42" i="46"/>
  <c r="E42" i="46"/>
  <c r="D42" i="46"/>
  <c r="C42" i="46" s="1"/>
  <c r="F41" i="46"/>
  <c r="E41" i="46"/>
  <c r="D41" i="46"/>
  <c r="C41" i="46" s="1"/>
  <c r="F40" i="46"/>
  <c r="E40" i="46"/>
  <c r="D40" i="46"/>
  <c r="C40" i="46" s="1"/>
  <c r="F39" i="46"/>
  <c r="E39" i="46"/>
  <c r="D39" i="46"/>
  <c r="C39" i="46" s="1"/>
  <c r="F38" i="46"/>
  <c r="E38" i="46"/>
  <c r="D38" i="46"/>
  <c r="C38" i="46" s="1"/>
  <c r="F37" i="46"/>
  <c r="E37" i="46"/>
  <c r="D37" i="46"/>
  <c r="C37" i="46" s="1"/>
  <c r="F36" i="46"/>
  <c r="E36" i="46"/>
  <c r="D36" i="46"/>
  <c r="C36" i="46" s="1"/>
  <c r="F35" i="46"/>
  <c r="E35" i="46"/>
  <c r="D35" i="46"/>
  <c r="C35" i="46" s="1"/>
  <c r="F34" i="46"/>
  <c r="E34" i="46"/>
  <c r="D34" i="46"/>
  <c r="C34" i="46" s="1"/>
  <c r="F33" i="46"/>
  <c r="E33" i="46"/>
  <c r="D33" i="46"/>
  <c r="C33" i="46" s="1"/>
  <c r="F32" i="46"/>
  <c r="E32" i="46"/>
  <c r="D32" i="46"/>
  <c r="C32" i="46" s="1"/>
  <c r="F31" i="46"/>
  <c r="E31" i="46"/>
  <c r="D31" i="46"/>
  <c r="C31" i="46" s="1"/>
  <c r="F30" i="46"/>
  <c r="E30" i="46"/>
  <c r="D30" i="46"/>
  <c r="C30" i="46" s="1"/>
  <c r="F29" i="46"/>
  <c r="E29" i="46"/>
  <c r="D29" i="46"/>
  <c r="C29" i="46" s="1"/>
  <c r="F28" i="46"/>
  <c r="E28" i="46"/>
  <c r="D28" i="46"/>
  <c r="C28" i="46" s="1"/>
  <c r="F27" i="46"/>
  <c r="E27" i="46"/>
  <c r="D27" i="46"/>
  <c r="C27" i="46" s="1"/>
  <c r="F26" i="46"/>
  <c r="E26" i="46"/>
  <c r="D26" i="46"/>
  <c r="C26" i="46" s="1"/>
  <c r="F25" i="46"/>
  <c r="E25" i="46"/>
  <c r="D25" i="46"/>
  <c r="C25" i="46" s="1"/>
  <c r="F24" i="46"/>
  <c r="E24" i="46"/>
  <c r="D24" i="46"/>
  <c r="C24" i="46" s="1"/>
  <c r="F23" i="46"/>
  <c r="E23" i="46"/>
  <c r="D23" i="46"/>
  <c r="C23" i="46" s="1"/>
  <c r="F22" i="46"/>
  <c r="E22" i="46"/>
  <c r="D22" i="46"/>
  <c r="C22" i="46" s="1"/>
  <c r="F21" i="46"/>
  <c r="E21" i="46"/>
  <c r="D21" i="46"/>
  <c r="C21" i="46" s="1"/>
  <c r="F20" i="46"/>
  <c r="E20" i="46"/>
  <c r="D20" i="46"/>
  <c r="C20" i="46" s="1"/>
  <c r="F19" i="46"/>
  <c r="E19" i="46"/>
  <c r="D19" i="46"/>
  <c r="C19" i="46" s="1"/>
  <c r="F18" i="46"/>
  <c r="E18" i="46"/>
  <c r="D18" i="46"/>
  <c r="C18" i="46" s="1"/>
  <c r="F17" i="46"/>
  <c r="E17" i="46"/>
  <c r="D17" i="46"/>
  <c r="C17" i="46" s="1"/>
  <c r="F16" i="46"/>
  <c r="E16" i="46"/>
  <c r="D16" i="46"/>
  <c r="C16" i="46" s="1"/>
  <c r="F15" i="46"/>
  <c r="E15" i="46"/>
  <c r="D15" i="46"/>
  <c r="C15" i="46" s="1"/>
  <c r="F14" i="46"/>
  <c r="E14" i="46"/>
  <c r="D14" i="46"/>
  <c r="C14" i="46" s="1"/>
  <c r="F13" i="46"/>
  <c r="E13" i="46"/>
  <c r="D13" i="46"/>
  <c r="C13" i="46" s="1"/>
  <c r="F12" i="46"/>
  <c r="E12" i="46"/>
  <c r="D12" i="46"/>
  <c r="C12" i="46" s="1"/>
  <c r="F11" i="46"/>
  <c r="E11" i="46"/>
  <c r="D11" i="46"/>
  <c r="C11" i="46" s="1"/>
  <c r="F10" i="46"/>
  <c r="E10" i="46"/>
  <c r="D10" i="46"/>
  <c r="C10" i="46" s="1"/>
  <c r="F9" i="46"/>
  <c r="E9" i="46"/>
  <c r="D9" i="46"/>
  <c r="C9" i="46" s="1"/>
  <c r="F8" i="46"/>
  <c r="E8" i="46"/>
  <c r="D8" i="46"/>
  <c r="C8" i="46" s="1"/>
  <c r="F7" i="46"/>
  <c r="E7" i="46"/>
  <c r="D7" i="46"/>
  <c r="C7" i="46" s="1"/>
  <c r="F6" i="46"/>
  <c r="E6" i="46"/>
  <c r="C6" i="46"/>
  <c r="G277" i="46" l="1"/>
  <c r="G252" i="46"/>
  <c r="G284" i="46"/>
  <c r="G259" i="46"/>
  <c r="G275" i="46"/>
  <c r="G184" i="46"/>
  <c r="G286" i="46"/>
  <c r="G261" i="46"/>
  <c r="G227" i="46"/>
  <c r="G45" i="46"/>
  <c r="G104" i="46"/>
  <c r="G211" i="46"/>
  <c r="G168" i="46"/>
  <c r="G182" i="46"/>
  <c r="G193" i="46"/>
  <c r="G296" i="46"/>
  <c r="G176" i="46"/>
  <c r="G253" i="46"/>
  <c r="G128" i="46"/>
  <c r="G159" i="46"/>
  <c r="G201" i="46"/>
  <c r="G260" i="46"/>
  <c r="G34" i="46"/>
  <c r="G87" i="46"/>
  <c r="G190" i="46"/>
  <c r="G313" i="46"/>
  <c r="G61" i="46"/>
  <c r="G78" i="46"/>
  <c r="G153" i="46"/>
  <c r="G160" i="46"/>
  <c r="G245" i="46"/>
  <c r="G283" i="46"/>
  <c r="G46" i="46"/>
  <c r="G50" i="46"/>
  <c r="G144" i="46"/>
  <c r="G166" i="46"/>
  <c r="G183" i="46"/>
  <c r="G186" i="46"/>
  <c r="G304" i="46"/>
  <c r="G310" i="46"/>
  <c r="G53" i="46"/>
  <c r="G70" i="46"/>
  <c r="G158" i="46"/>
  <c r="G162" i="46"/>
  <c r="G209" i="46"/>
  <c r="G241" i="46"/>
  <c r="G268" i="46"/>
  <c r="G68" i="46"/>
  <c r="G273" i="46"/>
  <c r="G281" i="46"/>
  <c r="G37" i="46"/>
  <c r="G54" i="46"/>
  <c r="G97" i="46"/>
  <c r="G105" i="46"/>
  <c r="G178" i="46"/>
  <c r="G187" i="46"/>
  <c r="G27" i="46"/>
  <c r="G212" i="46"/>
  <c r="G113" i="46"/>
  <c r="G120" i="46"/>
  <c r="G121" i="46"/>
  <c r="G148" i="46"/>
  <c r="G210" i="46"/>
  <c r="G251" i="46"/>
  <c r="G289" i="46"/>
  <c r="G293" i="46"/>
  <c r="G9" i="46"/>
  <c r="G13" i="46"/>
  <c r="G62" i="46"/>
  <c r="G130" i="46"/>
  <c r="G138" i="46"/>
  <c r="G154" i="46"/>
  <c r="G294" i="46"/>
  <c r="G69" i="46"/>
  <c r="G175" i="46"/>
  <c r="G218" i="46"/>
  <c r="G225" i="46"/>
  <c r="G226" i="46"/>
  <c r="G249" i="46"/>
  <c r="G269" i="46"/>
  <c r="G301" i="46"/>
  <c r="G312" i="46"/>
  <c r="G17" i="46"/>
  <c r="G42" i="46"/>
  <c r="G135" i="46"/>
  <c r="G66" i="46"/>
  <c r="G95" i="46"/>
  <c r="G119" i="46"/>
  <c r="G74" i="46"/>
  <c r="G82" i="46"/>
  <c r="G106" i="46"/>
  <c r="G112" i="46"/>
  <c r="G58" i="46"/>
  <c r="G11" i="46"/>
  <c r="G309" i="46"/>
  <c r="G152" i="46"/>
  <c r="G167" i="46"/>
  <c r="G170" i="46"/>
  <c r="G267" i="46"/>
  <c r="G21" i="46"/>
  <c r="G25" i="46"/>
  <c r="G76" i="46"/>
  <c r="G103" i="46"/>
  <c r="G129" i="46"/>
  <c r="G146" i="46"/>
  <c r="G19" i="46"/>
  <c r="G44" i="46"/>
  <c r="G52" i="46"/>
  <c r="G60" i="46"/>
  <c r="G77" i="46"/>
  <c r="G85" i="46"/>
  <c r="G96" i="46"/>
  <c r="G114" i="46"/>
  <c r="G127" i="46"/>
  <c r="G136" i="46"/>
  <c r="G93" i="46"/>
  <c r="G111" i="46"/>
  <c r="G137" i="46"/>
  <c r="G174" i="46"/>
  <c r="G302" i="46"/>
  <c r="G26" i="46"/>
  <c r="G122" i="46"/>
  <c r="G297" i="46"/>
  <c r="G143" i="46"/>
  <c r="G285" i="46"/>
  <c r="G219" i="46"/>
  <c r="G220" i="46"/>
  <c r="G257" i="46"/>
  <c r="G149" i="46"/>
  <c r="G217" i="46"/>
  <c r="G228" i="46"/>
  <c r="G177" i="46"/>
  <c r="G198" i="46"/>
  <c r="G305" i="46"/>
  <c r="G151" i="46"/>
  <c r="G265" i="46"/>
  <c r="G276" i="46"/>
  <c r="G145" i="46"/>
  <c r="G202" i="46"/>
  <c r="G243" i="46"/>
  <c r="G10" i="46"/>
  <c r="G12" i="46"/>
  <c r="G20" i="46"/>
  <c r="G30" i="46"/>
  <c r="G40" i="46"/>
  <c r="G64" i="46"/>
  <c r="G71" i="46"/>
  <c r="G80" i="46"/>
  <c r="G35" i="46"/>
  <c r="G39" i="46"/>
  <c r="G48" i="46"/>
  <c r="G55" i="46"/>
  <c r="G108" i="46"/>
  <c r="G6" i="46"/>
  <c r="G14" i="46"/>
  <c r="G22" i="46"/>
  <c r="G23" i="46"/>
  <c r="G31" i="46"/>
  <c r="G38" i="46"/>
  <c r="G7" i="46"/>
  <c r="G15" i="46"/>
  <c r="G24" i="46"/>
  <c r="G32" i="46"/>
  <c r="G8" i="46"/>
  <c r="G16" i="46"/>
  <c r="G29" i="46"/>
  <c r="G36" i="46"/>
  <c r="G63" i="46"/>
  <c r="G72" i="46"/>
  <c r="G79" i="46"/>
  <c r="G47" i="46"/>
  <c r="G56" i="46"/>
  <c r="G89" i="46"/>
  <c r="G98" i="46"/>
  <c r="G18" i="46"/>
  <c r="G28" i="46"/>
  <c r="G92" i="46"/>
  <c r="G107" i="46"/>
  <c r="G91" i="46"/>
  <c r="G99" i="46"/>
  <c r="G33" i="46"/>
  <c r="G41" i="46"/>
  <c r="G49" i="46"/>
  <c r="G57" i="46"/>
  <c r="G65" i="46"/>
  <c r="G73" i="46"/>
  <c r="G81" i="46"/>
  <c r="G88" i="46"/>
  <c r="G124" i="46"/>
  <c r="G132" i="46"/>
  <c r="G140" i="46"/>
  <c r="G196" i="46"/>
  <c r="G43" i="46"/>
  <c r="G51" i="46"/>
  <c r="G59" i="46"/>
  <c r="G67" i="46"/>
  <c r="G75" i="46"/>
  <c r="G83" i="46"/>
  <c r="G86" i="46"/>
  <c r="G100" i="46"/>
  <c r="G123" i="46"/>
  <c r="G131" i="46"/>
  <c r="G139" i="46"/>
  <c r="G84" i="46"/>
  <c r="G90" i="46"/>
  <c r="G94" i="46"/>
  <c r="G116" i="46"/>
  <c r="G115" i="46"/>
  <c r="G150" i="46"/>
  <c r="G169" i="46"/>
  <c r="G188" i="46"/>
  <c r="G161" i="46"/>
  <c r="G101" i="46"/>
  <c r="G109" i="46"/>
  <c r="G117" i="46"/>
  <c r="G125" i="46"/>
  <c r="G133" i="46"/>
  <c r="G141" i="46"/>
  <c r="G163" i="46"/>
  <c r="G164" i="46"/>
  <c r="G102" i="46"/>
  <c r="G110" i="46"/>
  <c r="G118" i="46"/>
  <c r="G126" i="46"/>
  <c r="G134" i="46"/>
  <c r="G142" i="46"/>
  <c r="G147" i="46"/>
  <c r="G155" i="46"/>
  <c r="G179" i="46"/>
  <c r="G180" i="46"/>
  <c r="G205" i="46"/>
  <c r="G171" i="46"/>
  <c r="G172" i="46"/>
  <c r="G204" i="46"/>
  <c r="G156" i="46"/>
  <c r="G229" i="46"/>
  <c r="G192" i="46"/>
  <c r="G222" i="46"/>
  <c r="G199" i="46"/>
  <c r="G237" i="46"/>
  <c r="G157" i="46"/>
  <c r="G165" i="46"/>
  <c r="G173" i="46"/>
  <c r="G181" i="46"/>
  <c r="G191" i="46"/>
  <c r="G197" i="46"/>
  <c r="G214" i="46"/>
  <c r="G221" i="46"/>
  <c r="G189" i="46"/>
  <c r="G195" i="46"/>
  <c r="G213" i="46"/>
  <c r="G235" i="46"/>
  <c r="G230" i="46"/>
  <c r="G185" i="46"/>
  <c r="G194" i="46"/>
  <c r="G203" i="46"/>
  <c r="G206" i="46"/>
  <c r="G239" i="46"/>
  <c r="G254" i="46"/>
  <c r="G246" i="46"/>
  <c r="G247" i="46"/>
  <c r="G262" i="46"/>
  <c r="G207" i="46"/>
  <c r="G215" i="46"/>
  <c r="G223" i="46"/>
  <c r="G231" i="46"/>
  <c r="G244" i="46"/>
  <c r="G255" i="46"/>
  <c r="G270" i="46"/>
  <c r="G200" i="46"/>
  <c r="G208" i="46"/>
  <c r="G216" i="46"/>
  <c r="G224" i="46"/>
  <c r="G232" i="46"/>
  <c r="G234" i="46"/>
  <c r="G263" i="46"/>
  <c r="G233" i="46"/>
  <c r="G236" i="46"/>
  <c r="G271" i="46"/>
  <c r="G278" i="46"/>
  <c r="G238" i="46"/>
  <c r="G279" i="46"/>
  <c r="G240" i="46"/>
  <c r="G248" i="46"/>
  <c r="G256" i="46"/>
  <c r="G264" i="46"/>
  <c r="G272" i="46"/>
  <c r="G280" i="46"/>
  <c r="G287" i="46"/>
  <c r="G242" i="46"/>
  <c r="G250" i="46"/>
  <c r="G258" i="46"/>
  <c r="G266" i="46"/>
  <c r="G274" i="46"/>
  <c r="G282" i="46"/>
  <c r="G298" i="46"/>
  <c r="G306" i="46"/>
  <c r="G314" i="46"/>
  <c r="G288" i="46"/>
  <c r="G290" i="46"/>
  <c r="G291" i="46"/>
  <c r="G299" i="46"/>
  <c r="G307" i="46"/>
  <c r="G315" i="46"/>
  <c r="G292" i="46"/>
  <c r="G300" i="46"/>
  <c r="G308" i="46"/>
  <c r="G295" i="46"/>
  <c r="G303" i="46"/>
  <c r="G311" i="46"/>
</calcChain>
</file>

<file path=xl/comments1.xml><?xml version="1.0" encoding="utf-8"?>
<comments xmlns="http://schemas.openxmlformats.org/spreadsheetml/2006/main">
  <authors>
    <author>Fran</author>
  </authors>
  <commentList>
    <comment ref="B27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49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70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92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114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135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177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197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217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238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260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282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303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326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348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368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388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410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430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451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470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490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513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535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555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578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599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620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640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661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681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703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721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742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765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786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807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830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850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872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893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913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933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  <comment ref="B955" authorId="0" shapeId="0">
      <text>
        <r>
          <rPr>
            <b/>
            <sz val="9"/>
            <color indexed="81"/>
            <rFont val="Tahoma"/>
            <family val="2"/>
          </rPr>
          <t>Fran:</t>
        </r>
        <r>
          <rPr>
            <sz val="9"/>
            <color indexed="81"/>
            <rFont val="Tahoma"/>
            <family val="2"/>
          </rPr>
          <t xml:space="preserve">
primo giorno del mese
</t>
        </r>
      </text>
    </comment>
  </commentList>
</comments>
</file>

<file path=xl/sharedStrings.xml><?xml version="1.0" encoding="utf-8"?>
<sst xmlns="http://schemas.openxmlformats.org/spreadsheetml/2006/main" count="13" uniqueCount="13">
  <si>
    <t>C</t>
  </si>
  <si>
    <t>DATA</t>
  </si>
  <si>
    <t>APERTURA</t>
  </si>
  <si>
    <t>MINIMO</t>
  </si>
  <si>
    <t>MASSIMO</t>
  </si>
  <si>
    <t>CHIUSURA</t>
  </si>
  <si>
    <t>Indice MIB</t>
  </si>
  <si>
    <t>A</t>
  </si>
  <si>
    <t>∆(C-A)</t>
  </si>
  <si>
    <t>data</t>
  </si>
  <si>
    <t>S</t>
  </si>
  <si>
    <t>M</t>
  </si>
  <si>
    <t>VOLUMI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</si>
</sst>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0.0%"/>
  </numFmts>
  <fonts count="24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888888"/>
      <name val="Arial"/>
      <family val="2"/>
    </font>
    <font>
      <b/>
      <sz val="9"/>
      <color rgb="FF888888"/>
      <name val="Arial"/>
      <family val="2"/>
    </font>
    <font>
      <sz val="8"/>
      <color rgb="FF0000FF"/>
      <name val="Arial"/>
      <family val="2"/>
    </font>
    <font>
      <b/>
      <sz val="8"/>
      <color rgb="FF888888"/>
      <name val="Arial"/>
      <family val="2"/>
    </font>
    <font>
      <sz val="9"/>
      <color rgb="FF0000FF"/>
      <name val="Arial"/>
      <family val="2"/>
    </font>
    <font>
      <sz val="11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0" tint="-0.499984740745262"/>
      <name val="Arial"/>
      <family val="2"/>
    </font>
    <font>
      <b/>
      <sz val="8"/>
      <color theme="1"/>
      <name val="Inherit"/>
    </font>
    <font>
      <sz val="8"/>
      <color rgb="FF0EA600"/>
      <name val="Inherit"/>
    </font>
    <font>
      <sz val="8"/>
      <color theme="1"/>
      <name val="Inherit"/>
    </font>
    <font>
      <sz val="8"/>
      <color rgb="FFFF0000"/>
      <name val="Inherit"/>
    </font>
    <font>
      <sz val="11"/>
      <color rgb="FF7030A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8"/>
      <color theme="1"/>
      <name val="Arial"/>
      <family val="2"/>
    </font>
    <font>
      <sz val="8"/>
      <color rgb="FF0070C0"/>
      <name val="Arial"/>
      <family val="2"/>
    </font>
    <font>
      <sz val="8"/>
      <color rgb="FF333333"/>
      <name val="Inherit"/>
    </font>
    <font>
      <b/>
      <sz val="11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rgb="FFBABABA"/>
      </left>
      <right/>
      <top style="medium">
        <color rgb="FFDADADA"/>
      </top>
      <bottom/>
      <diagonal/>
    </border>
    <border>
      <left/>
      <right/>
      <top style="medium">
        <color rgb="FFDADADA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rgb="FFBABABA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Fill="1" applyAlignment="1">
      <alignment vertical="center"/>
    </xf>
    <xf numFmtId="0" fontId="6" fillId="0" borderId="0" xfId="0" applyFont="1" applyFill="1" applyBorder="1" applyAlignment="1">
      <alignment horizontal="right" vertical="center" wrapText="1"/>
    </xf>
    <xf numFmtId="0" fontId="0" fillId="0" borderId="0" xfId="0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15" fillId="0" borderId="5" xfId="0" applyFont="1" applyBorder="1" applyAlignment="1">
      <alignment horizontal="right" vertical="center" wrapText="1" readingOrder="1"/>
    </xf>
    <xf numFmtId="0" fontId="16" fillId="0" borderId="5" xfId="0" applyFont="1" applyBorder="1" applyAlignment="1">
      <alignment horizontal="right" vertical="center" wrapText="1" readingOrder="1"/>
    </xf>
    <xf numFmtId="0" fontId="17" fillId="0" borderId="5" xfId="0" applyFont="1" applyBorder="1" applyAlignment="1">
      <alignment horizontal="right" vertical="center" wrapText="1" readingOrder="1"/>
    </xf>
    <xf numFmtId="14" fontId="14" fillId="0" borderId="4" xfId="0" applyNumberFormat="1" applyFont="1" applyBorder="1" applyAlignment="1">
      <alignment horizontal="left" vertical="center" readingOrder="1"/>
    </xf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vertical="center"/>
    </xf>
    <xf numFmtId="0" fontId="10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right" vertical="center" wrapText="1"/>
    </xf>
    <xf numFmtId="1" fontId="1" fillId="0" borderId="0" xfId="0" applyNumberFormat="1" applyFont="1" applyFill="1" applyAlignment="1">
      <alignment horizontal="center" vertical="center"/>
    </xf>
    <xf numFmtId="10" fontId="3" fillId="0" borderId="1" xfId="1" applyNumberFormat="1" applyFont="1" applyFill="1" applyBorder="1" applyAlignment="1">
      <alignment horizontal="right" vertical="center" wrapText="1"/>
    </xf>
    <xf numFmtId="10" fontId="4" fillId="0" borderId="0" xfId="1" applyNumberFormat="1" applyFont="1" applyFill="1" applyBorder="1" applyAlignment="1">
      <alignment horizontal="right" vertical="center" wrapText="1"/>
    </xf>
    <xf numFmtId="165" fontId="7" fillId="0" borderId="3" xfId="1" applyNumberFormat="1" applyFont="1" applyFill="1" applyBorder="1" applyAlignment="1">
      <alignment horizontal="right" vertical="center" wrapText="1"/>
    </xf>
    <xf numFmtId="0" fontId="19" fillId="0" borderId="0" xfId="0" applyFont="1" applyFill="1" applyAlignment="1">
      <alignment horizontal="center" vertical="center"/>
    </xf>
    <xf numFmtId="1" fontId="1" fillId="2" borderId="0" xfId="0" applyNumberFormat="1" applyFont="1" applyFill="1" applyAlignment="1">
      <alignment horizontal="center" vertical="center"/>
    </xf>
    <xf numFmtId="10" fontId="3" fillId="2" borderId="1" xfId="1" applyNumberFormat="1" applyFont="1" applyFill="1" applyBorder="1" applyAlignment="1">
      <alignment horizontal="right" vertical="center" wrapText="1"/>
    </xf>
    <xf numFmtId="10" fontId="4" fillId="2" borderId="0" xfId="1" applyNumberFormat="1" applyFont="1" applyFill="1" applyBorder="1" applyAlignment="1">
      <alignment horizontal="right" vertical="center" wrapText="1"/>
    </xf>
    <xf numFmtId="165" fontId="7" fillId="2" borderId="3" xfId="1" applyNumberFormat="1" applyFont="1" applyFill="1" applyBorder="1" applyAlignment="1">
      <alignment horizontal="right" vertical="center" wrapText="1"/>
    </xf>
    <xf numFmtId="0" fontId="0" fillId="2" borderId="0" xfId="0" applyFill="1" applyAlignment="1">
      <alignment vertical="center"/>
    </xf>
    <xf numFmtId="14" fontId="21" fillId="0" borderId="2" xfId="0" applyNumberFormat="1" applyFont="1" applyFill="1" applyBorder="1" applyAlignment="1">
      <alignment horizontal="center" vertical="center" wrapText="1"/>
    </xf>
    <xf numFmtId="14" fontId="21" fillId="2" borderId="2" xfId="0" applyNumberFormat="1" applyFont="1" applyFill="1" applyBorder="1" applyAlignment="1">
      <alignment horizontal="center" vertical="center" wrapText="1"/>
    </xf>
    <xf numFmtId="0" fontId="20" fillId="0" borderId="0" xfId="0" applyFont="1" applyFill="1" applyAlignment="1">
      <alignment vertical="center"/>
    </xf>
    <xf numFmtId="1" fontId="5" fillId="0" borderId="0" xfId="1" applyNumberFormat="1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 wrapText="1"/>
    </xf>
    <xf numFmtId="0" fontId="13" fillId="0" borderId="6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0" fontId="16" fillId="0" borderId="0" xfId="0" applyFont="1" applyFill="1" applyAlignment="1">
      <alignment vertical="center"/>
    </xf>
    <xf numFmtId="0" fontId="22" fillId="3" borderId="7" xfId="0" applyFont="1" applyFill="1" applyBorder="1" applyAlignment="1">
      <alignment horizontal="right" vertical="center" wrapText="1" readingOrder="1"/>
    </xf>
    <xf numFmtId="0" fontId="22" fillId="3" borderId="5" xfId="0" applyFont="1" applyFill="1" applyBorder="1" applyAlignment="1">
      <alignment horizontal="right" vertical="center" wrapText="1" readingOrder="1"/>
    </xf>
    <xf numFmtId="0" fontId="23" fillId="0" borderId="0" xfId="0" applyFont="1" applyFill="1" applyAlignment="1">
      <alignment vertical="center"/>
    </xf>
  </cellXfs>
  <cellStyles count="2">
    <cellStyle name="Normale" xfId="0" builtinId="0"/>
    <cellStyle name="Percentuale" xfId="1" builtinId="5"/>
  </cellStyles>
  <dxfs count="56"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  <dxf>
      <font>
        <strike val="0"/>
        <color theme="9" tint="-0.24994659260841701"/>
      </font>
    </dxf>
    <dxf>
      <font>
        <strike val="0"/>
        <color rgb="FFFF0000"/>
      </font>
    </dxf>
  </dxfs>
  <tableStyles count="0" defaultTableStyle="TableStyleMedium2" defaultPivotStyle="PivotStyleLight16"/>
  <colors>
    <mruColors>
      <color rgb="FFFFFFCC"/>
      <color rgb="FFCCFFCC"/>
      <color rgb="FFCCFFFF"/>
      <color rgb="FFFFCCFF"/>
      <color rgb="FFFF9900"/>
      <color rgb="FF0000FF"/>
      <color rgb="FFFF9933"/>
      <color rgb="FF9966FF"/>
      <color rgb="FFFF9966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B1:R1289"/>
  <sheetViews>
    <sheetView tabSelected="1" zoomScale="96" zoomScaleNormal="96" workbookViewId="0">
      <pane ySplit="1" topLeftCell="A2" activePane="bottomLeft" state="frozen"/>
      <selection activeCell="C49" sqref="C49:C54"/>
      <selection pane="bottomLeft" activeCell="X17" sqref="X17"/>
    </sheetView>
  </sheetViews>
  <sheetFormatPr defaultRowHeight="14.4"/>
  <cols>
    <col min="1" max="1" width="1.21875" style="1" customWidth="1"/>
    <col min="2" max="2" width="2.88671875" style="9" customWidth="1"/>
    <col min="3" max="3" width="2.109375" style="3" customWidth="1"/>
    <col min="4" max="4" width="8.77734375" style="10" customWidth="1"/>
    <col min="5" max="5" width="6.44140625" style="10" customWidth="1"/>
    <col min="6" max="6" width="6" style="10" customWidth="1"/>
    <col min="7" max="7" width="5.88671875" style="10" customWidth="1"/>
    <col min="8" max="8" width="6.109375" style="1" customWidth="1"/>
    <col min="9" max="9" width="5.109375" style="1" customWidth="1"/>
    <col min="10" max="10" width="4.6640625" style="1" customWidth="1"/>
    <col min="11" max="11" width="8.88671875" style="1" customWidth="1"/>
    <col min="12" max="15" width="9.109375" style="1" bestFit="1" customWidth="1"/>
    <col min="16" max="16" width="8.88671875" style="35"/>
    <col min="17" max="17" width="8.88671875" style="1"/>
    <col min="19" max="16384" width="8.88671875" style="1"/>
  </cols>
  <sheetData>
    <row r="1" spans="2:16" ht="15.6" customHeight="1">
      <c r="D1" s="38" t="s">
        <v>6</v>
      </c>
      <c r="F1" s="11"/>
      <c r="G1" s="11"/>
      <c r="H1" s="12"/>
    </row>
    <row r="3" spans="2:16">
      <c r="K3" s="13" t="s">
        <v>1</v>
      </c>
      <c r="L3" s="2" t="s">
        <v>5</v>
      </c>
      <c r="M3" s="2" t="s">
        <v>2</v>
      </c>
      <c r="N3" s="2" t="s">
        <v>4</v>
      </c>
      <c r="O3" s="2" t="s">
        <v>3</v>
      </c>
      <c r="P3" s="2" t="s">
        <v>12</v>
      </c>
    </row>
    <row r="4" spans="2:16" ht="15" thickBot="1">
      <c r="D4" s="33" t="s">
        <v>9</v>
      </c>
      <c r="E4" s="33" t="s">
        <v>7</v>
      </c>
      <c r="F4" s="33" t="s">
        <v>0</v>
      </c>
      <c r="G4" s="34" t="s">
        <v>8</v>
      </c>
      <c r="K4" s="4"/>
      <c r="L4" s="14"/>
      <c r="M4" s="14"/>
      <c r="N4" s="14"/>
      <c r="O4" s="14"/>
    </row>
    <row r="5" spans="2:16" ht="15" thickBot="1">
      <c r="B5" s="9" t="s">
        <v>11</v>
      </c>
      <c r="C5" s="3" t="s">
        <v>10</v>
      </c>
      <c r="D5" s="29"/>
      <c r="E5" s="30"/>
      <c r="F5" s="31"/>
      <c r="G5" s="32"/>
      <c r="J5" s="4"/>
      <c r="K5" s="4"/>
      <c r="L5" s="14"/>
      <c r="M5" s="14"/>
      <c r="N5" s="14"/>
      <c r="O5" s="14"/>
    </row>
    <row r="6" spans="2:16" ht="15" thickBot="1">
      <c r="B6" s="9">
        <f t="shared" ref="B6:B69" si="0">B7+1</f>
        <v>22</v>
      </c>
      <c r="C6" s="15">
        <f>WEEKDAY(D6,2)</f>
        <v>5</v>
      </c>
      <c r="D6" s="25">
        <f>K6</f>
        <v>42643</v>
      </c>
      <c r="E6" s="16">
        <f t="shared" ref="E6:E69" si="1">M6/L7-1</f>
        <v>-1.7875875677376252E-2</v>
      </c>
      <c r="F6" s="17">
        <f t="shared" ref="F6:F69" si="2">L6/L7-1</f>
        <v>3.8081178643691871E-3</v>
      </c>
      <c r="G6" s="18">
        <f t="shared" ref="G6:G69" si="3">F6-E6</f>
        <v>2.1683993541745439E-2</v>
      </c>
      <c r="J6" s="28"/>
      <c r="K6" s="8">
        <v>42643</v>
      </c>
      <c r="L6" s="5">
        <v>16401</v>
      </c>
      <c r="M6" s="6">
        <v>16046.71</v>
      </c>
      <c r="N6" s="6">
        <v>16446.78</v>
      </c>
      <c r="O6" s="6">
        <v>15922.35</v>
      </c>
      <c r="P6" s="36">
        <v>925120</v>
      </c>
    </row>
    <row r="7" spans="2:16" ht="15" thickBot="1">
      <c r="B7" s="9">
        <f t="shared" si="0"/>
        <v>21</v>
      </c>
      <c r="C7" s="15">
        <f>WEEKDAY(D7,2)</f>
        <v>4</v>
      </c>
      <c r="D7" s="25">
        <f t="shared" ref="D7:D70" si="4">K7</f>
        <v>42642</v>
      </c>
      <c r="E7" s="16">
        <f t="shared" si="1"/>
        <v>1.4751997415888507E-2</v>
      </c>
      <c r="F7" s="17">
        <f t="shared" si="2"/>
        <v>7.1858273317877419E-3</v>
      </c>
      <c r="G7" s="18">
        <f t="shared" si="3"/>
        <v>-7.5661700841007651E-3</v>
      </c>
      <c r="J7" s="28"/>
      <c r="K7" s="8">
        <v>42642</v>
      </c>
      <c r="L7" s="5">
        <v>16338.78</v>
      </c>
      <c r="M7" s="6">
        <v>16461.52</v>
      </c>
      <c r="N7" s="6">
        <v>16506.86</v>
      </c>
      <c r="O7" s="6">
        <v>16253.77</v>
      </c>
      <c r="P7" s="37">
        <v>625460</v>
      </c>
    </row>
    <row r="8" spans="2:16" ht="15" thickBot="1">
      <c r="B8" s="9">
        <f t="shared" si="0"/>
        <v>20</v>
      </c>
      <c r="C8" s="15">
        <f t="shared" ref="C8:C71" si="5">WEEKDAY(D8,2)</f>
        <v>3</v>
      </c>
      <c r="D8" s="25">
        <f t="shared" si="4"/>
        <v>42641</v>
      </c>
      <c r="E8" s="16">
        <f t="shared" si="1"/>
        <v>2.9662758115889254E-3</v>
      </c>
      <c r="F8" s="17">
        <f t="shared" si="2"/>
        <v>5.4230909635191171E-3</v>
      </c>
      <c r="G8" s="18">
        <f t="shared" si="3"/>
        <v>2.4568151519301917E-3</v>
      </c>
      <c r="J8" s="28"/>
      <c r="K8" s="8">
        <v>42641</v>
      </c>
      <c r="L8" s="5">
        <v>16222.21</v>
      </c>
      <c r="M8" s="6">
        <v>16182.57</v>
      </c>
      <c r="N8" s="6">
        <v>16378.64</v>
      </c>
      <c r="O8" s="6">
        <v>16176.38</v>
      </c>
      <c r="P8" s="37">
        <v>538650</v>
      </c>
    </row>
    <row r="9" spans="2:16" ht="15" thickBot="1">
      <c r="B9" s="9">
        <f t="shared" si="0"/>
        <v>19</v>
      </c>
      <c r="C9" s="15">
        <f t="shared" si="5"/>
        <v>2</v>
      </c>
      <c r="D9" s="25">
        <f t="shared" si="4"/>
        <v>42640</v>
      </c>
      <c r="E9" s="16">
        <f t="shared" si="1"/>
        <v>8.2507435550329689E-3</v>
      </c>
      <c r="F9" s="17">
        <f t="shared" si="2"/>
        <v>-3.5677055028012772E-3</v>
      </c>
      <c r="G9" s="18">
        <f t="shared" si="3"/>
        <v>-1.1818449057834246E-2</v>
      </c>
      <c r="J9" s="28"/>
      <c r="K9" s="8">
        <v>42640</v>
      </c>
      <c r="L9" s="7">
        <v>16134.71</v>
      </c>
      <c r="M9" s="6">
        <v>16326.08</v>
      </c>
      <c r="N9" s="6">
        <v>16332.27</v>
      </c>
      <c r="O9" s="6">
        <v>15995.01</v>
      </c>
      <c r="P9" s="37">
        <v>625390</v>
      </c>
    </row>
    <row r="10" spans="2:16" ht="15" thickBot="1">
      <c r="B10" s="9">
        <f t="shared" si="0"/>
        <v>18</v>
      </c>
      <c r="C10" s="15">
        <f t="shared" si="5"/>
        <v>1</v>
      </c>
      <c r="D10" s="25">
        <f t="shared" si="4"/>
        <v>42639</v>
      </c>
      <c r="E10" s="16">
        <f t="shared" si="1"/>
        <v>-7.5123808412408399E-3</v>
      </c>
      <c r="F10" s="17">
        <f t="shared" si="2"/>
        <v>-1.5824623590820819E-2</v>
      </c>
      <c r="G10" s="18">
        <f t="shared" si="3"/>
        <v>-8.3122427495799789E-3</v>
      </c>
      <c r="J10" s="28"/>
      <c r="K10" s="8">
        <v>42639</v>
      </c>
      <c r="L10" s="7">
        <v>16192.48</v>
      </c>
      <c r="M10" s="6">
        <v>16329.24</v>
      </c>
      <c r="N10" s="6">
        <v>16330.18</v>
      </c>
      <c r="O10" s="6">
        <v>16091.54</v>
      </c>
      <c r="P10" s="37">
        <v>641610</v>
      </c>
    </row>
    <row r="11" spans="2:16" ht="15" thickBot="1">
      <c r="B11" s="9">
        <f t="shared" si="0"/>
        <v>17</v>
      </c>
      <c r="C11" s="15">
        <f t="shared" si="5"/>
        <v>5</v>
      </c>
      <c r="D11" s="25">
        <f t="shared" si="4"/>
        <v>42636</v>
      </c>
      <c r="E11" s="16">
        <f t="shared" si="1"/>
        <v>-1.215312943082747E-3</v>
      </c>
      <c r="F11" s="17">
        <f t="shared" si="2"/>
        <v>-1.1110316396086173E-2</v>
      </c>
      <c r="G11" s="18">
        <f t="shared" si="3"/>
        <v>-9.8950034530034259E-3</v>
      </c>
      <c r="J11" s="28"/>
      <c r="K11" s="8">
        <v>42636</v>
      </c>
      <c r="L11" s="7">
        <v>16452.84</v>
      </c>
      <c r="M11" s="6">
        <v>16617.47</v>
      </c>
      <c r="N11" s="6">
        <v>16625.12</v>
      </c>
      <c r="O11" s="6">
        <v>16409.77</v>
      </c>
      <c r="P11" s="37">
        <v>513900</v>
      </c>
    </row>
    <row r="12" spans="2:16" ht="15" thickBot="1">
      <c r="B12" s="9">
        <f t="shared" si="0"/>
        <v>16</v>
      </c>
      <c r="C12" s="15">
        <f t="shared" si="5"/>
        <v>4</v>
      </c>
      <c r="D12" s="25">
        <f t="shared" si="4"/>
        <v>42635</v>
      </c>
      <c r="E12" s="16">
        <f t="shared" si="1"/>
        <v>8.8588131245481705E-3</v>
      </c>
      <c r="F12" s="17">
        <f t="shared" si="2"/>
        <v>1.7606921666415865E-2</v>
      </c>
      <c r="G12" s="18">
        <f t="shared" si="3"/>
        <v>8.748108541867694E-3</v>
      </c>
      <c r="J12" s="28"/>
      <c r="K12" s="8">
        <v>42635</v>
      </c>
      <c r="L12" s="5">
        <v>16637.689999999999</v>
      </c>
      <c r="M12" s="6">
        <v>16494.66</v>
      </c>
      <c r="N12" s="6">
        <v>16730.84</v>
      </c>
      <c r="O12" s="6">
        <v>16492.46</v>
      </c>
      <c r="P12" s="37">
        <v>622730</v>
      </c>
    </row>
    <row r="13" spans="2:16" ht="15" thickBot="1">
      <c r="B13" s="9">
        <f t="shared" si="0"/>
        <v>15</v>
      </c>
      <c r="C13" s="15">
        <f t="shared" si="5"/>
        <v>3</v>
      </c>
      <c r="D13" s="25">
        <f t="shared" si="4"/>
        <v>42634</v>
      </c>
      <c r="E13" s="16">
        <f t="shared" si="1"/>
        <v>1.1388835757168092E-2</v>
      </c>
      <c r="F13" s="17">
        <f t="shared" si="2"/>
        <v>8.8060171159554113E-3</v>
      </c>
      <c r="G13" s="18">
        <f t="shared" si="3"/>
        <v>-2.5828186412126808E-3</v>
      </c>
      <c r="J13" s="28"/>
      <c r="K13" s="8">
        <v>42634</v>
      </c>
      <c r="L13" s="5">
        <v>16349.82</v>
      </c>
      <c r="M13" s="6">
        <v>16391.68</v>
      </c>
      <c r="N13" s="6">
        <v>16503.8</v>
      </c>
      <c r="O13" s="6">
        <v>16332.6</v>
      </c>
      <c r="P13" s="37">
        <v>573100</v>
      </c>
    </row>
    <row r="14" spans="2:16" ht="15" thickBot="1">
      <c r="B14" s="9">
        <f t="shared" si="0"/>
        <v>14</v>
      </c>
      <c r="C14" s="15">
        <f t="shared" si="5"/>
        <v>2</v>
      </c>
      <c r="D14" s="25">
        <f t="shared" si="4"/>
        <v>42633</v>
      </c>
      <c r="E14" s="16">
        <f t="shared" si="1"/>
        <v>1.0671213213275799E-4</v>
      </c>
      <c r="F14" s="17">
        <f t="shared" si="2"/>
        <v>-1.1717601891792606E-2</v>
      </c>
      <c r="G14" s="18">
        <f t="shared" si="3"/>
        <v>-1.1824314023925364E-2</v>
      </c>
      <c r="J14" s="28"/>
      <c r="K14" s="8">
        <v>42633</v>
      </c>
      <c r="L14" s="7">
        <v>16207.1</v>
      </c>
      <c r="M14" s="6">
        <v>16401.009999999998</v>
      </c>
      <c r="N14" s="6">
        <v>16430.14</v>
      </c>
      <c r="O14" s="6">
        <v>16207.1</v>
      </c>
      <c r="P14" s="37">
        <v>692110</v>
      </c>
    </row>
    <row r="15" spans="2:16" ht="15" thickBot="1">
      <c r="B15" s="9">
        <f t="shared" si="0"/>
        <v>13</v>
      </c>
      <c r="C15" s="15">
        <f t="shared" si="5"/>
        <v>1</v>
      </c>
      <c r="D15" s="25">
        <f t="shared" si="4"/>
        <v>42632</v>
      </c>
      <c r="E15" s="16">
        <f t="shared" si="1"/>
        <v>4.2761435163682915E-3</v>
      </c>
      <c r="F15" s="17">
        <f t="shared" si="2"/>
        <v>1.2790140413632134E-2</v>
      </c>
      <c r="G15" s="18">
        <f t="shared" si="3"/>
        <v>8.5139968972638425E-3</v>
      </c>
      <c r="J15" s="28"/>
      <c r="K15" s="8">
        <v>42632</v>
      </c>
      <c r="L15" s="5">
        <v>16399.259999999998</v>
      </c>
      <c r="M15" s="6">
        <v>16261.4</v>
      </c>
      <c r="N15" s="6">
        <v>16489.77</v>
      </c>
      <c r="O15" s="6">
        <v>16259.91</v>
      </c>
      <c r="P15" s="37">
        <v>598720</v>
      </c>
    </row>
    <row r="16" spans="2:16" ht="15" thickBot="1">
      <c r="B16" s="9">
        <f t="shared" si="0"/>
        <v>12</v>
      </c>
      <c r="C16" s="15">
        <f t="shared" si="5"/>
        <v>5</v>
      </c>
      <c r="D16" s="25">
        <f t="shared" si="4"/>
        <v>42629</v>
      </c>
      <c r="E16" s="16">
        <f t="shared" si="1"/>
        <v>-4.8163861978870459E-3</v>
      </c>
      <c r="F16" s="17">
        <f t="shared" si="2"/>
        <v>-2.4300063330688015E-2</v>
      </c>
      <c r="G16" s="18">
        <f t="shared" si="3"/>
        <v>-1.9483677132800969E-2</v>
      </c>
      <c r="J16" s="28"/>
      <c r="K16" s="8">
        <v>42629</v>
      </c>
      <c r="L16" s="7">
        <v>16192.16</v>
      </c>
      <c r="M16" s="6">
        <v>16515.5</v>
      </c>
      <c r="N16" s="6">
        <v>16547.759999999998</v>
      </c>
      <c r="O16" s="6">
        <v>16180.7</v>
      </c>
      <c r="P16" s="37">
        <v>1460000</v>
      </c>
    </row>
    <row r="17" spans="2:16" ht="15" thickBot="1">
      <c r="B17" s="9">
        <f t="shared" si="0"/>
        <v>11</v>
      </c>
      <c r="C17" s="15">
        <f t="shared" si="5"/>
        <v>4</v>
      </c>
      <c r="D17" s="25">
        <f t="shared" si="4"/>
        <v>42628</v>
      </c>
      <c r="E17" s="16">
        <f t="shared" si="1"/>
        <v>-1.8422118634333629E-3</v>
      </c>
      <c r="F17" s="17">
        <f t="shared" si="2"/>
        <v>3.3573358968312927E-3</v>
      </c>
      <c r="G17" s="18">
        <f t="shared" si="3"/>
        <v>5.1995477602646556E-3</v>
      </c>
      <c r="J17" s="28"/>
      <c r="K17" s="8">
        <v>42628</v>
      </c>
      <c r="L17" s="5">
        <v>16595.43</v>
      </c>
      <c r="M17" s="6">
        <v>16509.43</v>
      </c>
      <c r="N17" s="6">
        <v>16617.71</v>
      </c>
      <c r="O17" s="6">
        <v>16384.93</v>
      </c>
      <c r="P17" s="37">
        <v>706420</v>
      </c>
    </row>
    <row r="18" spans="2:16" ht="15" thickBot="1">
      <c r="B18" s="9">
        <f t="shared" si="0"/>
        <v>10</v>
      </c>
      <c r="C18" s="15">
        <f t="shared" si="5"/>
        <v>3</v>
      </c>
      <c r="D18" s="25">
        <f t="shared" si="4"/>
        <v>42627</v>
      </c>
      <c r="E18" s="16">
        <f t="shared" si="1"/>
        <v>5.4412231270113409E-3</v>
      </c>
      <c r="F18" s="17">
        <f t="shared" si="2"/>
        <v>-4.743847350847652E-4</v>
      </c>
      <c r="G18" s="18">
        <f t="shared" si="3"/>
        <v>-5.9156078620961061E-3</v>
      </c>
      <c r="J18" s="28"/>
      <c r="K18" s="8">
        <v>42627</v>
      </c>
      <c r="L18" s="7">
        <v>16539.900000000001</v>
      </c>
      <c r="M18" s="6">
        <v>16637.79</v>
      </c>
      <c r="N18" s="6">
        <v>16690.439999999999</v>
      </c>
      <c r="O18" s="6">
        <v>16476.96</v>
      </c>
      <c r="P18" s="37">
        <v>709630</v>
      </c>
    </row>
    <row r="19" spans="2:16" ht="15" thickBot="1">
      <c r="B19" s="9">
        <f t="shared" si="0"/>
        <v>9</v>
      </c>
      <c r="C19" s="15">
        <f t="shared" si="5"/>
        <v>2</v>
      </c>
      <c r="D19" s="25">
        <f t="shared" si="4"/>
        <v>42626</v>
      </c>
      <c r="E19" s="16">
        <f t="shared" si="1"/>
        <v>5.6828033738156591E-3</v>
      </c>
      <c r="F19" s="17">
        <f t="shared" si="2"/>
        <v>-1.7370851316011349E-2</v>
      </c>
      <c r="G19" s="18">
        <f t="shared" si="3"/>
        <v>-2.3053654689827008E-2</v>
      </c>
      <c r="J19" s="28"/>
      <c r="K19" s="8">
        <v>42626</v>
      </c>
      <c r="L19" s="7">
        <v>16547.75</v>
      </c>
      <c r="M19" s="6">
        <v>16935.98</v>
      </c>
      <c r="N19" s="6">
        <v>16965.18</v>
      </c>
      <c r="O19" s="6">
        <v>16547.75</v>
      </c>
      <c r="P19" s="37">
        <v>780020</v>
      </c>
    </row>
    <row r="20" spans="2:16" ht="15" thickBot="1">
      <c r="B20" s="9">
        <f t="shared" si="0"/>
        <v>8</v>
      </c>
      <c r="C20" s="15">
        <f t="shared" si="5"/>
        <v>1</v>
      </c>
      <c r="D20" s="25">
        <f t="shared" si="4"/>
        <v>42625</v>
      </c>
      <c r="E20" s="16">
        <f t="shared" si="1"/>
        <v>-1.6352421942030015E-2</v>
      </c>
      <c r="F20" s="17">
        <f t="shared" si="2"/>
        <v>-1.8430354012011874E-2</v>
      </c>
      <c r="G20" s="18">
        <f t="shared" si="3"/>
        <v>-2.0779320699818582E-3</v>
      </c>
      <c r="J20" s="28"/>
      <c r="K20" s="8">
        <v>42625</v>
      </c>
      <c r="L20" s="7">
        <v>16840.28</v>
      </c>
      <c r="M20" s="6">
        <v>16875.93</v>
      </c>
      <c r="N20" s="6">
        <v>16903.240000000002</v>
      </c>
      <c r="O20" s="6">
        <v>16667.2</v>
      </c>
      <c r="P20" s="37">
        <v>723530</v>
      </c>
    </row>
    <row r="21" spans="2:16" ht="15" thickBot="1">
      <c r="B21" s="9">
        <f t="shared" si="0"/>
        <v>7</v>
      </c>
      <c r="C21" s="15">
        <f t="shared" si="5"/>
        <v>5</v>
      </c>
      <c r="D21" s="25">
        <f t="shared" si="4"/>
        <v>42622</v>
      </c>
      <c r="E21" s="16">
        <f t="shared" si="1"/>
        <v>-2.2071015145838091E-3</v>
      </c>
      <c r="F21" s="17">
        <f t="shared" si="2"/>
        <v>-1.2618174891069311E-2</v>
      </c>
      <c r="G21" s="18">
        <f t="shared" si="3"/>
        <v>-1.0411073376485502E-2</v>
      </c>
      <c r="J21" s="28"/>
      <c r="K21" s="8">
        <v>42622</v>
      </c>
      <c r="L21" s="7">
        <v>17156.48</v>
      </c>
      <c r="M21" s="6">
        <v>17337.38</v>
      </c>
      <c r="N21" s="6">
        <v>17391.849999999999</v>
      </c>
      <c r="O21" s="6">
        <v>17122.439999999999</v>
      </c>
      <c r="P21" s="37">
        <v>623420</v>
      </c>
    </row>
    <row r="22" spans="2:16" ht="15" thickBot="1">
      <c r="B22" s="9">
        <f t="shared" si="0"/>
        <v>6</v>
      </c>
      <c r="C22" s="15">
        <f t="shared" si="5"/>
        <v>4</v>
      </c>
      <c r="D22" s="25">
        <f t="shared" si="4"/>
        <v>42621</v>
      </c>
      <c r="E22" s="16">
        <f t="shared" si="1"/>
        <v>2.4576645594365232E-4</v>
      </c>
      <c r="F22" s="17">
        <f t="shared" si="2"/>
        <v>4.7933133019215646E-3</v>
      </c>
      <c r="G22" s="18">
        <f t="shared" si="3"/>
        <v>4.5475468459779123E-3</v>
      </c>
      <c r="J22" s="28"/>
      <c r="K22" s="8">
        <v>42621</v>
      </c>
      <c r="L22" s="5">
        <v>17375.73</v>
      </c>
      <c r="M22" s="6">
        <v>17297.09</v>
      </c>
      <c r="N22" s="6">
        <v>17397.53</v>
      </c>
      <c r="O22" s="6">
        <v>17118.82</v>
      </c>
      <c r="P22" s="37">
        <v>722190</v>
      </c>
    </row>
    <row r="23" spans="2:16" ht="15" thickBot="1">
      <c r="B23" s="9">
        <f t="shared" si="0"/>
        <v>5</v>
      </c>
      <c r="C23" s="15">
        <f t="shared" si="5"/>
        <v>3</v>
      </c>
      <c r="D23" s="25">
        <f t="shared" si="4"/>
        <v>42620</v>
      </c>
      <c r="E23" s="16">
        <f t="shared" si="1"/>
        <v>5.6167486777651821E-3</v>
      </c>
      <c r="F23" s="17">
        <f t="shared" si="2"/>
        <v>1.4089958287812454E-2</v>
      </c>
      <c r="G23" s="18">
        <f t="shared" si="3"/>
        <v>8.473209610047272E-3</v>
      </c>
      <c r="J23" s="28"/>
      <c r="K23" s="8">
        <v>42620</v>
      </c>
      <c r="L23" s="5">
        <v>17292.84</v>
      </c>
      <c r="M23" s="6">
        <v>17148.349999999999</v>
      </c>
      <c r="N23" s="6">
        <v>17323.849999999999</v>
      </c>
      <c r="O23" s="6">
        <v>16991.68</v>
      </c>
      <c r="P23" s="37">
        <v>734820</v>
      </c>
    </row>
    <row r="24" spans="2:16" ht="15" thickBot="1">
      <c r="B24" s="9">
        <f t="shared" si="0"/>
        <v>4</v>
      </c>
      <c r="C24" s="15">
        <f t="shared" si="5"/>
        <v>2</v>
      </c>
      <c r="D24" s="25">
        <f t="shared" si="4"/>
        <v>42619</v>
      </c>
      <c r="E24" s="16">
        <f t="shared" si="1"/>
        <v>3.5141625228907181E-3</v>
      </c>
      <c r="F24" s="17">
        <f t="shared" si="2"/>
        <v>-8.0201553886927179E-3</v>
      </c>
      <c r="G24" s="18">
        <f t="shared" si="3"/>
        <v>-1.1534317911583436E-2</v>
      </c>
      <c r="J24" s="28"/>
      <c r="K24" s="8">
        <v>42619</v>
      </c>
      <c r="L24" s="7">
        <v>17052.57</v>
      </c>
      <c r="M24" s="6">
        <v>17250.849999999999</v>
      </c>
      <c r="N24" s="6">
        <v>17261.63</v>
      </c>
      <c r="O24" s="6">
        <v>17051.48</v>
      </c>
      <c r="P24" s="37">
        <v>579820</v>
      </c>
    </row>
    <row r="25" spans="2:16" ht="15" thickBot="1">
      <c r="B25" s="9">
        <f t="shared" si="0"/>
        <v>3</v>
      </c>
      <c r="C25" s="15">
        <f t="shared" si="5"/>
        <v>1</v>
      </c>
      <c r="D25" s="25">
        <f t="shared" si="4"/>
        <v>42618</v>
      </c>
      <c r="E25" s="16">
        <f t="shared" si="1"/>
        <v>2.823573228428744E-3</v>
      </c>
      <c r="F25" s="17">
        <f t="shared" si="2"/>
        <v>3.8058880696456576E-4</v>
      </c>
      <c r="G25" s="18">
        <f t="shared" si="3"/>
        <v>-2.4429844214641783E-3</v>
      </c>
      <c r="J25" s="28"/>
      <c r="K25" s="8">
        <v>42618</v>
      </c>
      <c r="L25" s="5">
        <v>17190.439999999999</v>
      </c>
      <c r="M25" s="6">
        <v>17232.419999999998</v>
      </c>
      <c r="N25" s="6">
        <v>17333.79</v>
      </c>
      <c r="O25" s="6">
        <v>17157.490000000002</v>
      </c>
      <c r="P25" s="37">
        <v>529290</v>
      </c>
    </row>
    <row r="26" spans="2:16" ht="15" thickBot="1">
      <c r="B26" s="9">
        <f t="shared" si="0"/>
        <v>2</v>
      </c>
      <c r="C26" s="15">
        <f t="shared" si="5"/>
        <v>5</v>
      </c>
      <c r="D26" s="25">
        <f t="shared" si="4"/>
        <v>42615</v>
      </c>
      <c r="E26" s="16">
        <f t="shared" si="1"/>
        <v>4.9730312327160853E-3</v>
      </c>
      <c r="F26" s="17">
        <f t="shared" si="2"/>
        <v>1.540008792621772E-2</v>
      </c>
      <c r="G26" s="18">
        <f t="shared" si="3"/>
        <v>1.0427056693501635E-2</v>
      </c>
      <c r="J26" s="28"/>
      <c r="K26" s="8">
        <v>42615</v>
      </c>
      <c r="L26" s="5">
        <v>17183.900000000001</v>
      </c>
      <c r="M26" s="6">
        <v>17007.439999999999</v>
      </c>
      <c r="N26" s="6">
        <v>17186.830000000002</v>
      </c>
      <c r="O26" s="6">
        <v>16882.82</v>
      </c>
      <c r="P26" s="37">
        <v>653760</v>
      </c>
    </row>
    <row r="27" spans="2:16" ht="15" thickBot="1">
      <c r="B27" s="19">
        <v>1</v>
      </c>
      <c r="C27" s="15">
        <f t="shared" si="5"/>
        <v>4</v>
      </c>
      <c r="D27" s="25">
        <f t="shared" si="4"/>
        <v>42614</v>
      </c>
      <c r="E27" s="16">
        <f t="shared" si="1"/>
        <v>2.7509269106873457E-3</v>
      </c>
      <c r="F27" s="17">
        <f t="shared" si="2"/>
        <v>-1.1863040314271656E-3</v>
      </c>
      <c r="G27" s="18">
        <f t="shared" si="3"/>
        <v>-3.9372309421145113E-3</v>
      </c>
      <c r="J27" s="28"/>
      <c r="K27" s="8">
        <v>42614</v>
      </c>
      <c r="L27" s="7">
        <v>16923.28</v>
      </c>
      <c r="M27" s="6">
        <v>16989.990000000002</v>
      </c>
      <c r="N27" s="6">
        <v>17253.2</v>
      </c>
      <c r="O27" s="6">
        <v>16852.84</v>
      </c>
      <c r="P27" s="37">
        <v>869400</v>
      </c>
    </row>
    <row r="28" spans="2:16" ht="15" thickBot="1">
      <c r="B28" s="9">
        <f t="shared" si="0"/>
        <v>22</v>
      </c>
      <c r="C28" s="15">
        <f t="shared" si="5"/>
        <v>3</v>
      </c>
      <c r="D28" s="25">
        <f t="shared" si="4"/>
        <v>42613</v>
      </c>
      <c r="E28" s="16">
        <f t="shared" si="1"/>
        <v>-8.3355928631212439E-4</v>
      </c>
      <c r="F28" s="17">
        <f t="shared" si="2"/>
        <v>3.0761179344307443E-3</v>
      </c>
      <c r="G28" s="18">
        <f t="shared" si="3"/>
        <v>3.9096772207428687E-3</v>
      </c>
      <c r="J28" s="28"/>
      <c r="K28" s="8">
        <v>42613</v>
      </c>
      <c r="L28" s="5">
        <v>16943.38</v>
      </c>
      <c r="M28" s="6">
        <v>16877.34</v>
      </c>
      <c r="N28" s="6">
        <v>17039.39</v>
      </c>
      <c r="O28" s="6">
        <v>16837.59</v>
      </c>
      <c r="P28" s="37">
        <v>735890</v>
      </c>
    </row>
    <row r="29" spans="2:16" ht="15" thickBot="1">
      <c r="B29" s="9">
        <f t="shared" si="0"/>
        <v>21</v>
      </c>
      <c r="C29" s="15">
        <f t="shared" si="5"/>
        <v>2</v>
      </c>
      <c r="D29" s="25">
        <f t="shared" si="4"/>
        <v>42612</v>
      </c>
      <c r="E29" s="16">
        <f t="shared" si="1"/>
        <v>4.0383735549573974E-3</v>
      </c>
      <c r="F29" s="17">
        <f t="shared" si="2"/>
        <v>1.4181740019044931E-2</v>
      </c>
      <c r="G29" s="18">
        <f t="shared" si="3"/>
        <v>1.0143366464087533E-2</v>
      </c>
      <c r="J29" s="28"/>
      <c r="K29" s="8">
        <v>42612</v>
      </c>
      <c r="L29" s="5">
        <v>16891.419999999998</v>
      </c>
      <c r="M29" s="6">
        <v>16722.48</v>
      </c>
      <c r="N29" s="6">
        <v>16940.8</v>
      </c>
      <c r="O29" s="6">
        <v>16718.8</v>
      </c>
      <c r="P29" s="37">
        <v>458790</v>
      </c>
    </row>
    <row r="30" spans="2:16" ht="15" thickBot="1">
      <c r="B30" s="9">
        <f t="shared" si="0"/>
        <v>20</v>
      </c>
      <c r="C30" s="15">
        <f t="shared" si="5"/>
        <v>1</v>
      </c>
      <c r="D30" s="25">
        <f t="shared" si="4"/>
        <v>42611</v>
      </c>
      <c r="E30" s="16">
        <f t="shared" si="1"/>
        <v>-4.0892923826243432E-3</v>
      </c>
      <c r="F30" s="17">
        <f t="shared" si="2"/>
        <v>-1.1206964620615434E-2</v>
      </c>
      <c r="G30" s="18">
        <f t="shared" si="3"/>
        <v>-7.1176722379910906E-3</v>
      </c>
      <c r="J30" s="28"/>
      <c r="K30" s="8">
        <v>42611</v>
      </c>
      <c r="L30" s="7">
        <v>16655.22</v>
      </c>
      <c r="M30" s="6">
        <v>16775.11</v>
      </c>
      <c r="N30" s="6">
        <v>16856.11</v>
      </c>
      <c r="O30" s="6">
        <v>16540.79</v>
      </c>
      <c r="P30" s="37">
        <v>327580</v>
      </c>
    </row>
    <row r="31" spans="2:16" ht="15" thickBot="1">
      <c r="B31" s="9">
        <f t="shared" si="0"/>
        <v>19</v>
      </c>
      <c r="C31" s="15">
        <f t="shared" si="5"/>
        <v>5</v>
      </c>
      <c r="D31" s="25">
        <f t="shared" si="4"/>
        <v>42608</v>
      </c>
      <c r="E31" s="16">
        <f t="shared" si="1"/>
        <v>2.0777007416770132E-3</v>
      </c>
      <c r="F31" s="17">
        <f t="shared" si="2"/>
        <v>7.9715010310710266E-3</v>
      </c>
      <c r="G31" s="18">
        <f t="shared" si="3"/>
        <v>5.8938002893940133E-3</v>
      </c>
      <c r="J31" s="28"/>
      <c r="K31" s="8">
        <v>42608</v>
      </c>
      <c r="L31" s="5">
        <v>16843.990000000002</v>
      </c>
      <c r="M31" s="6">
        <v>16745.5</v>
      </c>
      <c r="N31" s="6">
        <v>16864.64</v>
      </c>
      <c r="O31" s="6">
        <v>16574.38</v>
      </c>
      <c r="P31" s="37">
        <v>444200</v>
      </c>
    </row>
    <row r="32" spans="2:16" ht="15" thickBot="1">
      <c r="B32" s="9">
        <f t="shared" si="0"/>
        <v>18</v>
      </c>
      <c r="C32" s="15">
        <f t="shared" si="5"/>
        <v>4</v>
      </c>
      <c r="D32" s="25">
        <f t="shared" si="4"/>
        <v>42607</v>
      </c>
      <c r="E32" s="16">
        <f t="shared" si="1"/>
        <v>-3.9735656061613556E-3</v>
      </c>
      <c r="F32" s="17">
        <f t="shared" si="2"/>
        <v>-1.0706485993358994E-2</v>
      </c>
      <c r="G32" s="18">
        <f t="shared" si="3"/>
        <v>-6.7329203871976384E-3</v>
      </c>
      <c r="J32" s="28"/>
      <c r="K32" s="8">
        <v>42607</v>
      </c>
      <c r="L32" s="7">
        <v>16710.78</v>
      </c>
      <c r="M32" s="6">
        <v>16824.509999999998</v>
      </c>
      <c r="N32" s="6">
        <v>16879.75</v>
      </c>
      <c r="O32" s="6">
        <v>16681.990000000002</v>
      </c>
      <c r="P32" s="37">
        <v>522790</v>
      </c>
    </row>
    <row r="33" spans="2:16" ht="15" thickBot="1">
      <c r="B33" s="9">
        <f t="shared" si="0"/>
        <v>17</v>
      </c>
      <c r="C33" s="15">
        <f t="shared" si="5"/>
        <v>3</v>
      </c>
      <c r="D33" s="25">
        <f t="shared" si="4"/>
        <v>42606</v>
      </c>
      <c r="E33" s="16">
        <f t="shared" si="1"/>
        <v>-5.515539648528911E-3</v>
      </c>
      <c r="F33" s="17">
        <f t="shared" si="2"/>
        <v>6.7695590369560854E-3</v>
      </c>
      <c r="G33" s="18">
        <f t="shared" si="3"/>
        <v>1.2285098685484996E-2</v>
      </c>
      <c r="J33" s="28"/>
      <c r="K33" s="8">
        <v>42606</v>
      </c>
      <c r="L33" s="5">
        <v>16891.63</v>
      </c>
      <c r="M33" s="6">
        <v>16685.509999999998</v>
      </c>
      <c r="N33" s="6">
        <v>16949.240000000002</v>
      </c>
      <c r="O33" s="6">
        <v>16628.560000000001</v>
      </c>
      <c r="P33" s="37">
        <v>726160</v>
      </c>
    </row>
    <row r="34" spans="2:16" ht="15" thickBot="1">
      <c r="B34" s="9">
        <f t="shared" si="0"/>
        <v>16</v>
      </c>
      <c r="C34" s="15">
        <f t="shared" si="5"/>
        <v>2</v>
      </c>
      <c r="D34" s="25">
        <f t="shared" si="4"/>
        <v>42605</v>
      </c>
      <c r="E34" s="16">
        <f t="shared" si="1"/>
        <v>3.9629449073073086E-3</v>
      </c>
      <c r="F34" s="17">
        <f t="shared" si="2"/>
        <v>2.4980542655264726E-2</v>
      </c>
      <c r="G34" s="18">
        <f t="shared" si="3"/>
        <v>2.1017597747957417E-2</v>
      </c>
      <c r="J34" s="28"/>
      <c r="K34" s="8">
        <v>42605</v>
      </c>
      <c r="L34" s="5">
        <v>16778.05</v>
      </c>
      <c r="M34" s="6">
        <v>16434.009999999998</v>
      </c>
      <c r="N34" s="6">
        <v>16789.02</v>
      </c>
      <c r="O34" s="6">
        <v>16434.009999999998</v>
      </c>
      <c r="P34" s="37">
        <v>598140</v>
      </c>
    </row>
    <row r="35" spans="2:16" ht="15" thickBot="1">
      <c r="B35" s="9">
        <f t="shared" si="0"/>
        <v>15</v>
      </c>
      <c r="C35" s="15">
        <f t="shared" si="5"/>
        <v>1</v>
      </c>
      <c r="D35" s="25">
        <f t="shared" si="4"/>
        <v>42604</v>
      </c>
      <c r="E35" s="16">
        <f t="shared" si="1"/>
        <v>-8.0992957720571468E-4</v>
      </c>
      <c r="F35" s="17">
        <f t="shared" si="2"/>
        <v>3.6223042711063247E-3</v>
      </c>
      <c r="G35" s="18">
        <f t="shared" si="3"/>
        <v>4.4322338483120394E-3</v>
      </c>
      <c r="J35" s="28"/>
      <c r="K35" s="8">
        <v>42604</v>
      </c>
      <c r="L35" s="5">
        <v>16369.14</v>
      </c>
      <c r="M35" s="6">
        <v>16296.85</v>
      </c>
      <c r="N35" s="6">
        <v>16530.98</v>
      </c>
      <c r="O35" s="6">
        <v>16257</v>
      </c>
      <c r="P35" s="37">
        <v>514990</v>
      </c>
    </row>
    <row r="36" spans="2:16" ht="15" thickBot="1">
      <c r="B36" s="9">
        <f t="shared" si="0"/>
        <v>14</v>
      </c>
      <c r="C36" s="15">
        <f t="shared" si="5"/>
        <v>5</v>
      </c>
      <c r="D36" s="25">
        <f t="shared" si="4"/>
        <v>42601</v>
      </c>
      <c r="E36" s="16">
        <f t="shared" si="1"/>
        <v>-3.1043123312450849E-3</v>
      </c>
      <c r="F36" s="17">
        <f t="shared" si="2"/>
        <v>-2.1802156465498213E-2</v>
      </c>
      <c r="G36" s="18">
        <f t="shared" si="3"/>
        <v>-1.8697844134253128E-2</v>
      </c>
      <c r="J36" s="28"/>
      <c r="K36" s="8">
        <v>42601</v>
      </c>
      <c r="L36" s="7">
        <v>16310.06</v>
      </c>
      <c r="M36" s="6">
        <v>16621.82</v>
      </c>
      <c r="N36" s="6">
        <v>16646.919999999998</v>
      </c>
      <c r="O36" s="6">
        <v>16215.38</v>
      </c>
      <c r="P36" s="37">
        <v>700910</v>
      </c>
    </row>
    <row r="37" spans="2:16" ht="15" thickBot="1">
      <c r="B37" s="9">
        <f t="shared" si="0"/>
        <v>13</v>
      </c>
      <c r="C37" s="15">
        <f t="shared" si="5"/>
        <v>4</v>
      </c>
      <c r="D37" s="25">
        <f t="shared" si="4"/>
        <v>42600</v>
      </c>
      <c r="E37" s="16">
        <f t="shared" si="1"/>
        <v>7.1646551744999343E-3</v>
      </c>
      <c r="F37" s="17">
        <f t="shared" si="2"/>
        <v>8.7861106607067807E-3</v>
      </c>
      <c r="G37" s="18">
        <f t="shared" si="3"/>
        <v>1.6214554862068464E-3</v>
      </c>
      <c r="J37" s="28"/>
      <c r="K37" s="8">
        <v>42600</v>
      </c>
      <c r="L37" s="5">
        <v>16673.580000000002</v>
      </c>
      <c r="M37" s="6">
        <v>16646.78</v>
      </c>
      <c r="N37" s="6">
        <v>16698.13</v>
      </c>
      <c r="O37" s="6">
        <v>16517.36</v>
      </c>
      <c r="P37" s="37">
        <v>520610</v>
      </c>
    </row>
    <row r="38" spans="2:16" ht="15" thickBot="1">
      <c r="B38" s="9">
        <f t="shared" si="0"/>
        <v>12</v>
      </c>
      <c r="C38" s="15">
        <f t="shared" si="5"/>
        <v>3</v>
      </c>
      <c r="D38" s="25">
        <f t="shared" si="4"/>
        <v>42599</v>
      </c>
      <c r="E38" s="16">
        <f t="shared" si="1"/>
        <v>3.1429837265142258E-3</v>
      </c>
      <c r="F38" s="17">
        <f t="shared" si="2"/>
        <v>-1.5756602766873629E-2</v>
      </c>
      <c r="G38" s="18">
        <f t="shared" si="3"/>
        <v>-1.8899586493387854E-2</v>
      </c>
      <c r="J38" s="28"/>
      <c r="K38" s="8">
        <v>42599</v>
      </c>
      <c r="L38" s="7">
        <v>16528.36</v>
      </c>
      <c r="M38" s="6">
        <v>16845.740000000002</v>
      </c>
      <c r="N38" s="6">
        <v>16850.13</v>
      </c>
      <c r="O38" s="6">
        <v>16528.36</v>
      </c>
      <c r="P38" s="37">
        <v>546430</v>
      </c>
    </row>
    <row r="39" spans="2:16" ht="15" thickBot="1">
      <c r="B39" s="9">
        <f t="shared" si="0"/>
        <v>11</v>
      </c>
      <c r="C39" s="15">
        <f t="shared" si="5"/>
        <v>2</v>
      </c>
      <c r="D39" s="25">
        <f t="shared" si="4"/>
        <v>42598</v>
      </c>
      <c r="E39" s="16">
        <f t="shared" si="1"/>
        <v>-4.1993595653092575E-3</v>
      </c>
      <c r="F39" s="17">
        <f t="shared" si="2"/>
        <v>-1.2052714964204458E-2</v>
      </c>
      <c r="G39" s="18">
        <f t="shared" si="3"/>
        <v>-7.853355398895201E-3</v>
      </c>
      <c r="J39" s="28"/>
      <c r="K39" s="8">
        <v>42598</v>
      </c>
      <c r="L39" s="7">
        <v>16792.96</v>
      </c>
      <c r="M39" s="6">
        <v>16926.45</v>
      </c>
      <c r="N39" s="6">
        <v>17053.419999999998</v>
      </c>
      <c r="O39" s="6">
        <v>16782.740000000002</v>
      </c>
      <c r="P39" s="37">
        <v>540650</v>
      </c>
    </row>
    <row r="40" spans="2:16" ht="15" thickBot="1">
      <c r="B40" s="9">
        <f t="shared" si="0"/>
        <v>10</v>
      </c>
      <c r="C40" s="15">
        <f t="shared" si="5"/>
        <v>5</v>
      </c>
      <c r="D40" s="25">
        <f t="shared" si="4"/>
        <v>42594</v>
      </c>
      <c r="E40" s="16">
        <f t="shared" si="1"/>
        <v>-1.1432147552481453E-4</v>
      </c>
      <c r="F40" s="17">
        <f t="shared" si="2"/>
        <v>1.6582506810673969E-3</v>
      </c>
      <c r="G40" s="18">
        <f t="shared" si="3"/>
        <v>1.7725721565922115E-3</v>
      </c>
      <c r="J40" s="28"/>
      <c r="K40" s="8">
        <v>42594</v>
      </c>
      <c r="L40" s="5">
        <v>16997.830000000002</v>
      </c>
      <c r="M40" s="6">
        <v>16967.75</v>
      </c>
      <c r="N40" s="6">
        <v>17047.740000000002</v>
      </c>
      <c r="O40" s="6">
        <v>16945.66</v>
      </c>
      <c r="P40" s="37">
        <v>466900</v>
      </c>
    </row>
    <row r="41" spans="2:16" ht="15" thickBot="1">
      <c r="B41" s="9">
        <f t="shared" si="0"/>
        <v>9</v>
      </c>
      <c r="C41" s="15">
        <f t="shared" si="5"/>
        <v>4</v>
      </c>
      <c r="D41" s="25">
        <f t="shared" si="4"/>
        <v>42593</v>
      </c>
      <c r="E41" s="16">
        <f t="shared" si="1"/>
        <v>3.5291560338386319E-3</v>
      </c>
      <c r="F41" s="17">
        <f t="shared" si="2"/>
        <v>1.060890745642884E-2</v>
      </c>
      <c r="G41" s="18">
        <f t="shared" si="3"/>
        <v>7.0797514225902081E-3</v>
      </c>
      <c r="J41" s="28"/>
      <c r="K41" s="8">
        <v>42593</v>
      </c>
      <c r="L41" s="5">
        <v>16969.689999999999</v>
      </c>
      <c r="M41" s="6">
        <v>16850.810000000001</v>
      </c>
      <c r="N41" s="6">
        <v>16969.689999999999</v>
      </c>
      <c r="O41" s="6">
        <v>16706.580000000002</v>
      </c>
      <c r="P41" s="37">
        <v>549340</v>
      </c>
    </row>
    <row r="42" spans="2:16" ht="15" thickBot="1">
      <c r="B42" s="9">
        <f t="shared" si="0"/>
        <v>8</v>
      </c>
      <c r="C42" s="15">
        <f t="shared" si="5"/>
        <v>3</v>
      </c>
      <c r="D42" s="25">
        <f t="shared" si="4"/>
        <v>42592</v>
      </c>
      <c r="E42" s="16">
        <f t="shared" si="1"/>
        <v>-6.3591991969582651E-3</v>
      </c>
      <c r="F42" s="17">
        <f t="shared" si="2"/>
        <v>-2.7327707437541093E-4</v>
      </c>
      <c r="G42" s="18">
        <f t="shared" si="3"/>
        <v>6.0859221225828541E-3</v>
      </c>
      <c r="J42" s="28"/>
      <c r="K42" s="8">
        <v>42592</v>
      </c>
      <c r="L42" s="7">
        <v>16791.55</v>
      </c>
      <c r="M42" s="6">
        <v>16689.330000000002</v>
      </c>
      <c r="N42" s="6">
        <v>16885.91</v>
      </c>
      <c r="O42" s="6">
        <v>16675.75</v>
      </c>
      <c r="P42" s="37">
        <v>494830</v>
      </c>
    </row>
    <row r="43" spans="2:16" ht="15" thickBot="1">
      <c r="B43" s="9">
        <f t="shared" si="0"/>
        <v>7</v>
      </c>
      <c r="C43" s="15">
        <f t="shared" si="5"/>
        <v>2</v>
      </c>
      <c r="D43" s="25">
        <f t="shared" si="4"/>
        <v>42591</v>
      </c>
      <c r="E43" s="16">
        <f t="shared" si="1"/>
        <v>-1.4035029043546476E-4</v>
      </c>
      <c r="F43" s="17">
        <f t="shared" si="2"/>
        <v>3.1247349768450672E-3</v>
      </c>
      <c r="G43" s="18">
        <f t="shared" si="3"/>
        <v>3.2650852672805319E-3</v>
      </c>
      <c r="J43" s="28"/>
      <c r="K43" s="8">
        <v>42591</v>
      </c>
      <c r="L43" s="5">
        <v>16796.14</v>
      </c>
      <c r="M43" s="6">
        <v>16741.47</v>
      </c>
      <c r="N43" s="6">
        <v>16850.13</v>
      </c>
      <c r="O43" s="6">
        <v>16701.05</v>
      </c>
      <c r="P43" s="37">
        <v>517120</v>
      </c>
    </row>
    <row r="44" spans="2:16" ht="15" thickBot="1">
      <c r="B44" s="9">
        <f t="shared" si="0"/>
        <v>6</v>
      </c>
      <c r="C44" s="15">
        <f t="shared" si="5"/>
        <v>1</v>
      </c>
      <c r="D44" s="25">
        <f t="shared" si="4"/>
        <v>42590</v>
      </c>
      <c r="E44" s="16">
        <f t="shared" si="1"/>
        <v>4.5482212497325314E-3</v>
      </c>
      <c r="F44" s="17">
        <f t="shared" si="2"/>
        <v>7.0695308872459339E-3</v>
      </c>
      <c r="G44" s="18">
        <f t="shared" si="3"/>
        <v>2.5213096375134025E-3</v>
      </c>
      <c r="J44" s="28"/>
      <c r="K44" s="8">
        <v>42590</v>
      </c>
      <c r="L44" s="5">
        <v>16743.82</v>
      </c>
      <c r="M44" s="6">
        <v>16701.900000000001</v>
      </c>
      <c r="N44" s="6">
        <v>16806.759999999998</v>
      </c>
      <c r="O44" s="6">
        <v>16667.21</v>
      </c>
      <c r="P44" s="37">
        <v>559120</v>
      </c>
    </row>
    <row r="45" spans="2:16" ht="15" thickBot="1">
      <c r="B45" s="9">
        <f t="shared" si="0"/>
        <v>5</v>
      </c>
      <c r="C45" s="15">
        <f t="shared" si="5"/>
        <v>5</v>
      </c>
      <c r="D45" s="25">
        <f t="shared" si="4"/>
        <v>42587</v>
      </c>
      <c r="E45" s="16">
        <f t="shared" si="1"/>
        <v>2.8306750075910436E-3</v>
      </c>
      <c r="F45" s="17">
        <f t="shared" si="2"/>
        <v>2.4012081488457016E-2</v>
      </c>
      <c r="G45" s="18">
        <f t="shared" si="3"/>
        <v>2.1181406480865972E-2</v>
      </c>
      <c r="J45" s="28"/>
      <c r="K45" s="8">
        <v>42587</v>
      </c>
      <c r="L45" s="5">
        <v>16626.28</v>
      </c>
      <c r="M45" s="6">
        <v>16282.37</v>
      </c>
      <c r="N45" s="6">
        <v>16626.28</v>
      </c>
      <c r="O45" s="6">
        <v>16272.31</v>
      </c>
      <c r="P45" s="37">
        <v>750070</v>
      </c>
    </row>
    <row r="46" spans="2:16" ht="15" thickBot="1">
      <c r="B46" s="9">
        <f t="shared" si="0"/>
        <v>4</v>
      </c>
      <c r="C46" s="15">
        <f t="shared" si="5"/>
        <v>4</v>
      </c>
      <c r="D46" s="25">
        <f t="shared" si="4"/>
        <v>42586</v>
      </c>
      <c r="E46" s="16">
        <f t="shared" si="1"/>
        <v>5.2374977061149242E-3</v>
      </c>
      <c r="F46" s="17">
        <f t="shared" si="2"/>
        <v>6.6070091209831094E-3</v>
      </c>
      <c r="G46" s="18">
        <f t="shared" si="3"/>
        <v>1.3695114148681853E-3</v>
      </c>
      <c r="J46" s="28"/>
      <c r="K46" s="8">
        <v>42586</v>
      </c>
      <c r="L46" s="5">
        <v>16236.41</v>
      </c>
      <c r="M46" s="6">
        <v>16214.32</v>
      </c>
      <c r="N46" s="6">
        <v>16327.64</v>
      </c>
      <c r="O46" s="6">
        <v>16145.67</v>
      </c>
      <c r="P46" s="37">
        <v>667850</v>
      </c>
    </row>
    <row r="47" spans="2:16" ht="15" thickBot="1">
      <c r="B47" s="9">
        <f t="shared" si="0"/>
        <v>3</v>
      </c>
      <c r="C47" s="15">
        <f t="shared" si="5"/>
        <v>3</v>
      </c>
      <c r="D47" s="25">
        <f t="shared" si="4"/>
        <v>42585</v>
      </c>
      <c r="E47" s="16">
        <f t="shared" si="1"/>
        <v>2.3741534080778948E-3</v>
      </c>
      <c r="F47" s="17">
        <f t="shared" si="2"/>
        <v>1.954856299115848E-3</v>
      </c>
      <c r="G47" s="18">
        <f t="shared" si="3"/>
        <v>-4.1929710896204675E-4</v>
      </c>
      <c r="J47" s="28"/>
      <c r="K47" s="8">
        <v>42585</v>
      </c>
      <c r="L47" s="5">
        <v>16129.84</v>
      </c>
      <c r="M47" s="6">
        <v>16136.59</v>
      </c>
      <c r="N47" s="6">
        <v>16242.12</v>
      </c>
      <c r="O47" s="6">
        <v>15978.08</v>
      </c>
      <c r="P47" s="37">
        <v>935690</v>
      </c>
    </row>
    <row r="48" spans="2:16" ht="15" thickBot="1">
      <c r="B48" s="9">
        <f t="shared" si="0"/>
        <v>2</v>
      </c>
      <c r="C48" s="15">
        <f t="shared" si="5"/>
        <v>2</v>
      </c>
      <c r="D48" s="25">
        <f t="shared" si="4"/>
        <v>42584</v>
      </c>
      <c r="E48" s="16">
        <f t="shared" si="1"/>
        <v>-1.4926157502072046E-3</v>
      </c>
      <c r="F48" s="17">
        <f t="shared" si="2"/>
        <v>-2.7572617779826225E-2</v>
      </c>
      <c r="G48" s="18">
        <f t="shared" si="3"/>
        <v>-2.608000202961902E-2</v>
      </c>
      <c r="J48" s="28"/>
      <c r="K48" s="8">
        <v>42584</v>
      </c>
      <c r="L48" s="7">
        <v>16098.37</v>
      </c>
      <c r="M48" s="6">
        <v>16530.12</v>
      </c>
      <c r="N48" s="6">
        <v>16553.32</v>
      </c>
      <c r="O48" s="6">
        <v>16052.69</v>
      </c>
      <c r="P48" s="37">
        <v>1060000</v>
      </c>
    </row>
    <row r="49" spans="2:16" ht="15" thickBot="1">
      <c r="B49" s="19">
        <v>1</v>
      </c>
      <c r="C49" s="15">
        <f t="shared" si="5"/>
        <v>1</v>
      </c>
      <c r="D49" s="25">
        <f t="shared" si="4"/>
        <v>42583</v>
      </c>
      <c r="E49" s="16">
        <f t="shared" si="1"/>
        <v>7.3847589402415981E-3</v>
      </c>
      <c r="F49" s="17">
        <f t="shared" si="2"/>
        <v>-1.7334387535718698E-2</v>
      </c>
      <c r="G49" s="18">
        <f t="shared" si="3"/>
        <v>-2.4719146475960296E-2</v>
      </c>
      <c r="J49" s="28"/>
      <c r="K49" s="8">
        <v>42583</v>
      </c>
      <c r="L49" s="7">
        <v>16554.830000000002</v>
      </c>
      <c r="M49" s="6">
        <v>16971.27</v>
      </c>
      <c r="N49" s="6">
        <v>17122.82</v>
      </c>
      <c r="O49" s="6">
        <v>16554.830000000002</v>
      </c>
      <c r="P49" s="37">
        <v>1010000</v>
      </c>
    </row>
    <row r="50" spans="2:16" ht="15" thickBot="1">
      <c r="B50" s="9">
        <f t="shared" si="0"/>
        <v>21</v>
      </c>
      <c r="C50" s="15">
        <f t="shared" si="5"/>
        <v>5</v>
      </c>
      <c r="D50" s="25">
        <f t="shared" si="4"/>
        <v>42580</v>
      </c>
      <c r="E50" s="16">
        <f t="shared" si="1"/>
        <v>4.380655875816597E-3</v>
      </c>
      <c r="F50" s="17">
        <f t="shared" si="2"/>
        <v>1.96227721477924E-2</v>
      </c>
      <c r="G50" s="18">
        <f t="shared" si="3"/>
        <v>1.5242116271975803E-2</v>
      </c>
      <c r="J50" s="28"/>
      <c r="K50" s="8">
        <v>42580</v>
      </c>
      <c r="L50" s="5">
        <v>16846.86</v>
      </c>
      <c r="M50" s="6">
        <v>16595.02</v>
      </c>
      <c r="N50" s="6">
        <v>16916.54</v>
      </c>
      <c r="O50" s="6">
        <v>16555.45</v>
      </c>
      <c r="P50" s="37">
        <v>999880</v>
      </c>
    </row>
    <row r="51" spans="2:16" ht="15" thickBot="1">
      <c r="B51" s="9">
        <f t="shared" si="0"/>
        <v>20</v>
      </c>
      <c r="C51" s="15">
        <f t="shared" si="5"/>
        <v>4</v>
      </c>
      <c r="D51" s="25">
        <f t="shared" si="4"/>
        <v>42579</v>
      </c>
      <c r="E51" s="16">
        <f t="shared" si="1"/>
        <v>5.2600336476116283E-4</v>
      </c>
      <c r="F51" s="17">
        <f t="shared" si="2"/>
        <v>-2.0184415475054562E-2</v>
      </c>
      <c r="G51" s="18">
        <f t="shared" si="3"/>
        <v>-2.0710418839815725E-2</v>
      </c>
      <c r="J51" s="28"/>
      <c r="K51" s="8">
        <v>42579</v>
      </c>
      <c r="L51" s="7">
        <v>16522.64</v>
      </c>
      <c r="M51" s="6">
        <v>16871.88</v>
      </c>
      <c r="N51" s="6">
        <v>16871.88</v>
      </c>
      <c r="O51" s="6">
        <v>16522.64</v>
      </c>
      <c r="P51" s="37">
        <v>966320</v>
      </c>
    </row>
    <row r="52" spans="2:16" ht="15" thickBot="1">
      <c r="B52" s="9">
        <f t="shared" si="0"/>
        <v>19</v>
      </c>
      <c r="C52" s="15">
        <f t="shared" si="5"/>
        <v>3</v>
      </c>
      <c r="D52" s="25">
        <f t="shared" si="4"/>
        <v>42578</v>
      </c>
      <c r="E52" s="16">
        <f t="shared" si="1"/>
        <v>2.3201758877788858E-3</v>
      </c>
      <c r="F52" s="17">
        <f t="shared" si="2"/>
        <v>9.9418997772655615E-3</v>
      </c>
      <c r="G52" s="18">
        <f t="shared" si="3"/>
        <v>7.6217238894866757E-3</v>
      </c>
      <c r="J52" s="28"/>
      <c r="K52" s="8">
        <v>42578</v>
      </c>
      <c r="L52" s="5">
        <v>16863.009999999998</v>
      </c>
      <c r="M52" s="6">
        <v>16735.75</v>
      </c>
      <c r="N52" s="6">
        <v>16996.21</v>
      </c>
      <c r="O52" s="6">
        <v>16722.77</v>
      </c>
      <c r="P52" s="37">
        <v>1090000</v>
      </c>
    </row>
    <row r="53" spans="2:16" ht="15" thickBot="1">
      <c r="B53" s="9">
        <f t="shared" si="0"/>
        <v>18</v>
      </c>
      <c r="C53" s="15">
        <f t="shared" si="5"/>
        <v>2</v>
      </c>
      <c r="D53" s="25">
        <f t="shared" si="4"/>
        <v>42577</v>
      </c>
      <c r="E53" s="16">
        <f t="shared" si="1"/>
        <v>-1.1400554870936164E-3</v>
      </c>
      <c r="F53" s="17">
        <f t="shared" si="2"/>
        <v>2.8995630885608747E-4</v>
      </c>
      <c r="G53" s="18">
        <f t="shared" si="3"/>
        <v>1.4300117959497038E-3</v>
      </c>
      <c r="J53" s="28"/>
      <c r="K53" s="8">
        <v>42577</v>
      </c>
      <c r="L53" s="5">
        <v>16697.009999999998</v>
      </c>
      <c r="M53" s="6">
        <v>16673.14</v>
      </c>
      <c r="N53" s="6">
        <v>16753.54</v>
      </c>
      <c r="O53" s="6">
        <v>16383.19</v>
      </c>
      <c r="P53" s="37">
        <v>752670</v>
      </c>
    </row>
    <row r="54" spans="2:16" ht="15" thickBot="1">
      <c r="B54" s="9">
        <f t="shared" si="0"/>
        <v>17</v>
      </c>
      <c r="C54" s="15">
        <f t="shared" si="5"/>
        <v>1</v>
      </c>
      <c r="D54" s="25">
        <f t="shared" si="4"/>
        <v>42576</v>
      </c>
      <c r="E54" s="16">
        <f t="shared" si="1"/>
        <v>-2.5627776218251075E-4</v>
      </c>
      <c r="F54" s="17">
        <f t="shared" si="2"/>
        <v>-5.1553549834403301E-3</v>
      </c>
      <c r="G54" s="18">
        <f t="shared" si="3"/>
        <v>-4.8990772212578193E-3</v>
      </c>
      <c r="J54" s="28"/>
      <c r="K54" s="8">
        <v>42576</v>
      </c>
      <c r="L54" s="7">
        <v>16692.169999999998</v>
      </c>
      <c r="M54" s="6">
        <v>16774.37</v>
      </c>
      <c r="N54" s="6">
        <v>16882.240000000002</v>
      </c>
      <c r="O54" s="6">
        <v>16645.310000000001</v>
      </c>
      <c r="P54" s="37">
        <v>677620</v>
      </c>
    </row>
    <row r="55" spans="2:16" ht="15" thickBot="1">
      <c r="B55" s="9">
        <f t="shared" si="0"/>
        <v>16</v>
      </c>
      <c r="C55" s="15">
        <f t="shared" si="5"/>
        <v>5</v>
      </c>
      <c r="D55" s="25">
        <f t="shared" si="4"/>
        <v>42573</v>
      </c>
      <c r="E55" s="16">
        <f t="shared" si="1"/>
        <v>-5.2846108988777729E-3</v>
      </c>
      <c r="F55" s="17">
        <f t="shared" si="2"/>
        <v>-1.5905601770861422E-3</v>
      </c>
      <c r="G55" s="18">
        <f t="shared" si="3"/>
        <v>3.6940507217916307E-3</v>
      </c>
      <c r="J55" s="28"/>
      <c r="K55" s="8">
        <v>42573</v>
      </c>
      <c r="L55" s="7">
        <v>16778.669999999998</v>
      </c>
      <c r="M55" s="6">
        <v>16716.59</v>
      </c>
      <c r="N55" s="6">
        <v>16885.7</v>
      </c>
      <c r="O55" s="6">
        <v>16689.79</v>
      </c>
      <c r="P55" s="37">
        <v>630210</v>
      </c>
    </row>
    <row r="56" spans="2:16" ht="15" thickBot="1">
      <c r="B56" s="9">
        <f t="shared" si="0"/>
        <v>15</v>
      </c>
      <c r="C56" s="15">
        <f t="shared" si="5"/>
        <v>4</v>
      </c>
      <c r="D56" s="25">
        <f t="shared" si="4"/>
        <v>42572</v>
      </c>
      <c r="E56" s="16">
        <f t="shared" si="1"/>
        <v>1.9273650039193235E-3</v>
      </c>
      <c r="F56" s="17">
        <f t="shared" si="2"/>
        <v>2.4803415927874273E-3</v>
      </c>
      <c r="G56" s="18">
        <f t="shared" si="3"/>
        <v>5.5297658886810375E-4</v>
      </c>
      <c r="J56" s="28"/>
      <c r="K56" s="8">
        <v>42572</v>
      </c>
      <c r="L56" s="5">
        <v>16805.400000000001</v>
      </c>
      <c r="M56" s="6">
        <v>16796.13</v>
      </c>
      <c r="N56" s="6">
        <v>16884.52</v>
      </c>
      <c r="O56" s="6">
        <v>16651.64</v>
      </c>
      <c r="P56" s="37">
        <v>881150</v>
      </c>
    </row>
    <row r="57" spans="2:16" ht="15" thickBot="1">
      <c r="B57" s="9">
        <f t="shared" si="0"/>
        <v>14</v>
      </c>
      <c r="C57" s="15">
        <f t="shared" si="5"/>
        <v>3</v>
      </c>
      <c r="D57" s="25">
        <f t="shared" si="4"/>
        <v>42571</v>
      </c>
      <c r="E57" s="16">
        <f t="shared" si="1"/>
        <v>5.2609577797944063E-3</v>
      </c>
      <c r="F57" s="17">
        <f t="shared" si="2"/>
        <v>5.4006982224175104E-3</v>
      </c>
      <c r="G57" s="18">
        <f t="shared" si="3"/>
        <v>1.3974044262310414E-4</v>
      </c>
      <c r="J57" s="28"/>
      <c r="K57" s="8">
        <v>42571</v>
      </c>
      <c r="L57" s="5">
        <v>16763.82</v>
      </c>
      <c r="M57" s="6">
        <v>16761.490000000002</v>
      </c>
      <c r="N57" s="6">
        <v>16826.990000000002</v>
      </c>
      <c r="O57" s="6">
        <v>16626.900000000001</v>
      </c>
      <c r="P57" s="37">
        <v>801560</v>
      </c>
    </row>
    <row r="58" spans="2:16" ht="15" thickBot="1">
      <c r="B58" s="9">
        <f t="shared" si="0"/>
        <v>13</v>
      </c>
      <c r="C58" s="15">
        <f t="shared" si="5"/>
        <v>2</v>
      </c>
      <c r="D58" s="25">
        <f t="shared" si="4"/>
        <v>42570</v>
      </c>
      <c r="E58" s="16">
        <f t="shared" si="1"/>
        <v>-2.3701389928728611E-3</v>
      </c>
      <c r="F58" s="17">
        <f t="shared" si="2"/>
        <v>-5.3070114474192964E-3</v>
      </c>
      <c r="G58" s="18">
        <f t="shared" si="3"/>
        <v>-2.9368724545464353E-3</v>
      </c>
      <c r="J58" s="28"/>
      <c r="K58" s="8">
        <v>42570</v>
      </c>
      <c r="L58" s="7">
        <v>16673.77</v>
      </c>
      <c r="M58" s="6">
        <v>16723</v>
      </c>
      <c r="N58" s="6">
        <v>16843.21</v>
      </c>
      <c r="O58" s="6">
        <v>16444.82</v>
      </c>
      <c r="P58" s="37">
        <v>908500</v>
      </c>
    </row>
    <row r="59" spans="2:16" ht="15" thickBot="1">
      <c r="B59" s="9">
        <f t="shared" si="0"/>
        <v>12</v>
      </c>
      <c r="C59" s="15">
        <f t="shared" si="5"/>
        <v>1</v>
      </c>
      <c r="D59" s="25">
        <f t="shared" si="4"/>
        <v>42569</v>
      </c>
      <c r="E59" s="16">
        <f t="shared" si="1"/>
        <v>8.9679190905034289E-4</v>
      </c>
      <c r="F59" s="17">
        <f t="shared" si="2"/>
        <v>8.442501727010665E-4</v>
      </c>
      <c r="G59" s="18">
        <f t="shared" si="3"/>
        <v>-5.2541736349276391E-5</v>
      </c>
      <c r="J59" s="28"/>
      <c r="K59" s="8">
        <v>42569</v>
      </c>
      <c r="L59" s="5">
        <v>16762.73</v>
      </c>
      <c r="M59" s="6">
        <v>16763.61</v>
      </c>
      <c r="N59" s="6">
        <v>16964.18</v>
      </c>
      <c r="O59" s="6">
        <v>16602.02</v>
      </c>
      <c r="P59" s="37">
        <v>747740</v>
      </c>
    </row>
    <row r="60" spans="2:16" ht="15" thickBot="1">
      <c r="B60" s="9">
        <f t="shared" si="0"/>
        <v>11</v>
      </c>
      <c r="C60" s="15">
        <f t="shared" si="5"/>
        <v>5</v>
      </c>
      <c r="D60" s="25">
        <f t="shared" si="4"/>
        <v>42566</v>
      </c>
      <c r="E60" s="16">
        <f t="shared" si="1"/>
        <v>-6.74623396787144E-3</v>
      </c>
      <c r="F60" s="17">
        <f t="shared" si="2"/>
        <v>-2.9129300039529848E-3</v>
      </c>
      <c r="G60" s="18">
        <f t="shared" si="3"/>
        <v>3.8333039639184552E-3</v>
      </c>
      <c r="J60" s="28"/>
      <c r="K60" s="8">
        <v>42566</v>
      </c>
      <c r="L60" s="7">
        <v>16748.59</v>
      </c>
      <c r="M60" s="6">
        <v>16684.2</v>
      </c>
      <c r="N60" s="6">
        <v>16871.96</v>
      </c>
      <c r="O60" s="6">
        <v>16600.650000000001</v>
      </c>
      <c r="P60" s="37">
        <v>784000</v>
      </c>
    </row>
    <row r="61" spans="2:16" ht="15" thickBot="1">
      <c r="B61" s="9">
        <f t="shared" si="0"/>
        <v>10</v>
      </c>
      <c r="C61" s="15">
        <f t="shared" si="5"/>
        <v>4</v>
      </c>
      <c r="D61" s="25">
        <f t="shared" si="4"/>
        <v>42565</v>
      </c>
      <c r="E61" s="16">
        <f t="shared" si="1"/>
        <v>1.011078849145286E-2</v>
      </c>
      <c r="F61" s="17">
        <f t="shared" si="2"/>
        <v>1.6313637130934477E-2</v>
      </c>
      <c r="G61" s="18">
        <f t="shared" si="3"/>
        <v>6.2028486394816174E-3</v>
      </c>
      <c r="J61" s="28"/>
      <c r="K61" s="8">
        <v>42565</v>
      </c>
      <c r="L61" s="5">
        <v>16797.52</v>
      </c>
      <c r="M61" s="6">
        <v>16695</v>
      </c>
      <c r="N61" s="6">
        <v>16857.59</v>
      </c>
      <c r="O61" s="6">
        <v>16595.05</v>
      </c>
      <c r="P61" s="37">
        <v>971070</v>
      </c>
    </row>
    <row r="62" spans="2:16" ht="15" thickBot="1">
      <c r="B62" s="9">
        <f t="shared" si="0"/>
        <v>9</v>
      </c>
      <c r="C62" s="15">
        <f t="shared" si="5"/>
        <v>3</v>
      </c>
      <c r="D62" s="25">
        <f t="shared" si="4"/>
        <v>42564</v>
      </c>
      <c r="E62" s="16">
        <f t="shared" si="1"/>
        <v>-1.2565037976196569E-3</v>
      </c>
      <c r="F62" s="17">
        <f t="shared" si="2"/>
        <v>-1.1548950421625515E-2</v>
      </c>
      <c r="G62" s="18">
        <f t="shared" si="3"/>
        <v>-1.0292446624005858E-2</v>
      </c>
      <c r="J62" s="28"/>
      <c r="K62" s="8">
        <v>42564</v>
      </c>
      <c r="L62" s="7">
        <v>16527.89</v>
      </c>
      <c r="M62" s="6">
        <v>16699.990000000002</v>
      </c>
      <c r="N62" s="6">
        <v>16820.41</v>
      </c>
      <c r="O62" s="6">
        <v>16508.05</v>
      </c>
      <c r="P62" s="37">
        <v>1100000</v>
      </c>
    </row>
    <row r="63" spans="2:16" ht="15" thickBot="1">
      <c r="B63" s="9">
        <f t="shared" si="0"/>
        <v>8</v>
      </c>
      <c r="C63" s="15">
        <f t="shared" si="5"/>
        <v>2</v>
      </c>
      <c r="D63" s="25">
        <f t="shared" si="4"/>
        <v>42563</v>
      </c>
      <c r="E63" s="16">
        <f t="shared" si="1"/>
        <v>1.0423943953006276E-3</v>
      </c>
      <c r="F63" s="17">
        <f t="shared" si="2"/>
        <v>2.8311308779974231E-2</v>
      </c>
      <c r="G63" s="18">
        <f t="shared" si="3"/>
        <v>2.7268914384673604E-2</v>
      </c>
      <c r="J63" s="28"/>
      <c r="K63" s="8">
        <v>42563</v>
      </c>
      <c r="L63" s="5">
        <v>16721</v>
      </c>
      <c r="M63" s="6">
        <v>16277.59</v>
      </c>
      <c r="N63" s="6">
        <v>16767.830000000002</v>
      </c>
      <c r="O63" s="6">
        <v>16262.84</v>
      </c>
      <c r="P63" s="37">
        <v>1300000</v>
      </c>
    </row>
    <row r="64" spans="2:16" ht="15" thickBot="1">
      <c r="B64" s="9">
        <f t="shared" si="0"/>
        <v>7</v>
      </c>
      <c r="C64" s="15">
        <f t="shared" si="5"/>
        <v>1</v>
      </c>
      <c r="D64" s="25">
        <f t="shared" si="4"/>
        <v>42562</v>
      </c>
      <c r="E64" s="16">
        <f t="shared" si="1"/>
        <v>6.8976334432524489E-3</v>
      </c>
      <c r="F64" s="17">
        <f t="shared" si="2"/>
        <v>1.2091087102384046E-2</v>
      </c>
      <c r="G64" s="18">
        <f t="shared" si="3"/>
        <v>5.1934536591315972E-3</v>
      </c>
      <c r="J64" s="28"/>
      <c r="K64" s="8">
        <v>42562</v>
      </c>
      <c r="L64" s="5">
        <v>16260.64</v>
      </c>
      <c r="M64" s="6">
        <v>16177.2</v>
      </c>
      <c r="N64" s="6">
        <v>16263.74</v>
      </c>
      <c r="O64" s="6">
        <v>15906.76</v>
      </c>
      <c r="P64" s="37">
        <v>905190</v>
      </c>
    </row>
    <row r="65" spans="2:16" ht="15" thickBot="1">
      <c r="B65" s="9">
        <f t="shared" si="0"/>
        <v>6</v>
      </c>
      <c r="C65" s="15">
        <f t="shared" si="5"/>
        <v>5</v>
      </c>
      <c r="D65" s="25">
        <f t="shared" si="4"/>
        <v>42559</v>
      </c>
      <c r="E65" s="16">
        <f t="shared" si="1"/>
        <v>-4.2802095858036626E-3</v>
      </c>
      <c r="F65" s="17">
        <f t="shared" si="2"/>
        <v>4.0827511505452163E-2</v>
      </c>
      <c r="G65" s="18">
        <f t="shared" si="3"/>
        <v>4.5107721091255826E-2</v>
      </c>
      <c r="J65" s="28"/>
      <c r="K65" s="8">
        <v>42559</v>
      </c>
      <c r="L65" s="5">
        <v>16066.38</v>
      </c>
      <c r="M65" s="6">
        <v>15370.09</v>
      </c>
      <c r="N65" s="6">
        <v>16087.67</v>
      </c>
      <c r="O65" s="6">
        <v>15356.04</v>
      </c>
      <c r="P65" s="37">
        <v>1150000</v>
      </c>
    </row>
    <row r="66" spans="2:16" ht="15" thickBot="1">
      <c r="B66" s="9">
        <f t="shared" si="0"/>
        <v>5</v>
      </c>
      <c r="C66" s="15">
        <f t="shared" si="5"/>
        <v>4</v>
      </c>
      <c r="D66" s="25">
        <f t="shared" si="4"/>
        <v>42558</v>
      </c>
      <c r="E66" s="16">
        <f t="shared" si="1"/>
        <v>9.1916448551230268E-3</v>
      </c>
      <c r="F66" s="17">
        <f t="shared" si="2"/>
        <v>8.0200780741956912E-4</v>
      </c>
      <c r="G66" s="18">
        <f t="shared" si="3"/>
        <v>-8.3896370477034576E-3</v>
      </c>
      <c r="J66" s="28"/>
      <c r="K66" s="8">
        <v>42558</v>
      </c>
      <c r="L66" s="5">
        <v>15436.16</v>
      </c>
      <c r="M66" s="6">
        <v>15565.56</v>
      </c>
      <c r="N66" s="6">
        <v>15710.05</v>
      </c>
      <c r="O66" s="6">
        <v>15391.02</v>
      </c>
      <c r="P66" s="37">
        <v>907910</v>
      </c>
    </row>
    <row r="67" spans="2:16" ht="15" thickBot="1">
      <c r="B67" s="9">
        <f t="shared" si="0"/>
        <v>4</v>
      </c>
      <c r="C67" s="15">
        <f t="shared" si="5"/>
        <v>3</v>
      </c>
      <c r="D67" s="25">
        <f t="shared" si="4"/>
        <v>42557</v>
      </c>
      <c r="E67" s="16">
        <f t="shared" si="1"/>
        <v>-7.1444142518199971E-3</v>
      </c>
      <c r="F67" s="17">
        <f t="shared" si="2"/>
        <v>-2.2583421207389431E-2</v>
      </c>
      <c r="G67" s="18">
        <f t="shared" si="3"/>
        <v>-1.5439006955569434E-2</v>
      </c>
      <c r="J67" s="28"/>
      <c r="K67" s="8">
        <v>42557</v>
      </c>
      <c r="L67" s="7">
        <v>15423.79</v>
      </c>
      <c r="M67" s="6">
        <v>15667.42</v>
      </c>
      <c r="N67" s="6">
        <v>15776.76</v>
      </c>
      <c r="O67" s="6">
        <v>15293.1</v>
      </c>
      <c r="P67" s="37">
        <v>1400000</v>
      </c>
    </row>
    <row r="68" spans="2:16" ht="15" thickBot="1">
      <c r="B68" s="9">
        <f t="shared" si="0"/>
        <v>3</v>
      </c>
      <c r="C68" s="15">
        <f t="shared" si="5"/>
        <v>2</v>
      </c>
      <c r="D68" s="25">
        <f t="shared" si="4"/>
        <v>42556</v>
      </c>
      <c r="E68" s="16">
        <f t="shared" si="1"/>
        <v>-6.0266132744120071E-3</v>
      </c>
      <c r="F68" s="17">
        <f t="shared" si="2"/>
        <v>-1.4498220431655384E-2</v>
      </c>
      <c r="G68" s="18">
        <f t="shared" si="3"/>
        <v>-8.4716071572433771E-3</v>
      </c>
      <c r="J68" s="28"/>
      <c r="K68" s="8">
        <v>42556</v>
      </c>
      <c r="L68" s="7">
        <v>15780.16</v>
      </c>
      <c r="M68" s="6">
        <v>15915.81</v>
      </c>
      <c r="N68" s="6">
        <v>16065.53</v>
      </c>
      <c r="O68" s="6">
        <v>15751.29</v>
      </c>
      <c r="P68" s="37">
        <v>1080000</v>
      </c>
    </row>
    <row r="69" spans="2:16" ht="15" thickBot="1">
      <c r="B69" s="9">
        <f t="shared" si="0"/>
        <v>2</v>
      </c>
      <c r="C69" s="15">
        <f t="shared" si="5"/>
        <v>1</v>
      </c>
      <c r="D69" s="25">
        <f t="shared" si="4"/>
        <v>42555</v>
      </c>
      <c r="E69" s="16">
        <f t="shared" si="1"/>
        <v>3.4665416445238684E-3</v>
      </c>
      <c r="F69" s="17">
        <f t="shared" si="2"/>
        <v>-1.739530111476717E-2</v>
      </c>
      <c r="G69" s="18">
        <f t="shared" si="3"/>
        <v>-2.0861842759291038E-2</v>
      </c>
      <c r="J69" s="28"/>
      <c r="K69" s="8">
        <v>42555</v>
      </c>
      <c r="L69" s="7">
        <v>16012.31</v>
      </c>
      <c r="M69" s="6">
        <v>16352.27</v>
      </c>
      <c r="N69" s="6">
        <v>16352.29</v>
      </c>
      <c r="O69" s="6">
        <v>15995.1</v>
      </c>
      <c r="P69" s="37">
        <v>848270</v>
      </c>
    </row>
    <row r="70" spans="2:16" ht="15" thickBot="1">
      <c r="B70" s="19">
        <v>1</v>
      </c>
      <c r="C70" s="15">
        <f t="shared" si="5"/>
        <v>5</v>
      </c>
      <c r="D70" s="25">
        <f t="shared" si="4"/>
        <v>42552</v>
      </c>
      <c r="E70" s="16">
        <f t="shared" ref="E70:E133" si="6">M70/L71-1</f>
        <v>1.1541087729306065E-2</v>
      </c>
      <c r="F70" s="17">
        <f t="shared" ref="F70:F133" si="7">L70/L71-1</f>
        <v>6.0502118191505527E-3</v>
      </c>
      <c r="G70" s="18">
        <f t="shared" ref="G70:G133" si="8">F70-E70</f>
        <v>-5.4908759101555127E-3</v>
      </c>
      <c r="J70" s="28"/>
      <c r="K70" s="8">
        <v>42552</v>
      </c>
      <c r="L70" s="5">
        <v>16295.78</v>
      </c>
      <c r="M70" s="6">
        <v>16384.72</v>
      </c>
      <c r="N70" s="6">
        <v>16446.169999999998</v>
      </c>
      <c r="O70" s="6">
        <v>16013.33</v>
      </c>
      <c r="P70" s="37">
        <v>968950</v>
      </c>
    </row>
    <row r="71" spans="2:16" ht="15" thickBot="1">
      <c r="B71" s="9">
        <f t="shared" ref="B71:B133" si="9">B72+1</f>
        <v>22</v>
      </c>
      <c r="C71" s="15">
        <f t="shared" si="5"/>
        <v>4</v>
      </c>
      <c r="D71" s="25">
        <f t="shared" ref="D71:D134" si="10">K71</f>
        <v>42551</v>
      </c>
      <c r="E71" s="16">
        <f t="shared" si="6"/>
        <v>-3.2702219173219582E-3</v>
      </c>
      <c r="F71" s="17">
        <f t="shared" si="7"/>
        <v>1.5730300440272904E-2</v>
      </c>
      <c r="G71" s="18">
        <f t="shared" si="8"/>
        <v>1.9000522357594862E-2</v>
      </c>
      <c r="J71" s="28"/>
      <c r="K71" s="8">
        <v>42551</v>
      </c>
      <c r="L71" s="5">
        <v>16197.78</v>
      </c>
      <c r="M71" s="6">
        <v>15894.78</v>
      </c>
      <c r="N71" s="6">
        <v>16250.33</v>
      </c>
      <c r="O71" s="6">
        <v>15629.01</v>
      </c>
      <c r="P71" s="37">
        <v>1330000</v>
      </c>
    </row>
    <row r="72" spans="2:16" ht="15" thickBot="1">
      <c r="B72" s="9">
        <f t="shared" si="9"/>
        <v>21</v>
      </c>
      <c r="C72" s="15">
        <f t="shared" ref="C72:C135" si="11">WEEKDAY(D72,2)</f>
        <v>3</v>
      </c>
      <c r="D72" s="25">
        <f t="shared" si="10"/>
        <v>42550</v>
      </c>
      <c r="E72" s="16">
        <f t="shared" si="6"/>
        <v>1.6222674312026397E-2</v>
      </c>
      <c r="F72" s="17">
        <f t="shared" si="7"/>
        <v>2.21329579876961E-2</v>
      </c>
      <c r="G72" s="18">
        <f t="shared" si="8"/>
        <v>5.910283675669703E-3</v>
      </c>
      <c r="J72" s="28"/>
      <c r="K72" s="8">
        <v>42550</v>
      </c>
      <c r="L72" s="5">
        <v>15946.93</v>
      </c>
      <c r="M72" s="6">
        <v>15854.72</v>
      </c>
      <c r="N72" s="6">
        <v>16019.31</v>
      </c>
      <c r="O72" s="6">
        <v>15754.04</v>
      </c>
      <c r="P72" s="37">
        <v>1200000</v>
      </c>
    </row>
    <row r="73" spans="2:16" ht="15" thickBot="1">
      <c r="B73" s="9">
        <f t="shared" si="9"/>
        <v>20</v>
      </c>
      <c r="C73" s="15">
        <f t="shared" si="11"/>
        <v>2</v>
      </c>
      <c r="D73" s="25">
        <f t="shared" si="10"/>
        <v>42549</v>
      </c>
      <c r="E73" s="16">
        <f t="shared" si="6"/>
        <v>1.2236171821515152E-2</v>
      </c>
      <c r="F73" s="17">
        <f t="shared" si="7"/>
        <v>3.297496355168783E-2</v>
      </c>
      <c r="G73" s="18">
        <f t="shared" si="8"/>
        <v>2.0738791730172679E-2</v>
      </c>
      <c r="J73" s="28"/>
      <c r="K73" s="8">
        <v>42549</v>
      </c>
      <c r="L73" s="5">
        <v>15601.62</v>
      </c>
      <c r="M73" s="6">
        <v>15288.39</v>
      </c>
      <c r="N73" s="6">
        <v>15799.21</v>
      </c>
      <c r="O73" s="6">
        <v>15286.86</v>
      </c>
      <c r="P73" s="37">
        <v>1500000</v>
      </c>
    </row>
    <row r="74" spans="2:16" ht="15" thickBot="1">
      <c r="B74" s="9">
        <f t="shared" si="9"/>
        <v>19</v>
      </c>
      <c r="C74" s="15">
        <f t="shared" si="11"/>
        <v>1</v>
      </c>
      <c r="D74" s="25">
        <f t="shared" si="10"/>
        <v>42548</v>
      </c>
      <c r="E74" s="16">
        <f t="shared" si="6"/>
        <v>1.2274378792418439E-3</v>
      </c>
      <c r="F74" s="17">
        <f t="shared" si="7"/>
        <v>-3.9445274395963792E-2</v>
      </c>
      <c r="G74" s="18">
        <f t="shared" si="8"/>
        <v>-4.0672712275205636E-2</v>
      </c>
      <c r="J74" s="28"/>
      <c r="K74" s="8">
        <v>42548</v>
      </c>
      <c r="L74" s="7">
        <v>15103.58</v>
      </c>
      <c r="M74" s="6">
        <v>15743.11</v>
      </c>
      <c r="N74" s="6">
        <v>15907.54</v>
      </c>
      <c r="O74" s="6">
        <v>15017.42</v>
      </c>
      <c r="P74" s="37">
        <v>1930000</v>
      </c>
    </row>
    <row r="75" spans="2:16" ht="15" thickBot="1">
      <c r="B75" s="9">
        <f t="shared" si="9"/>
        <v>18</v>
      </c>
      <c r="C75" s="15">
        <f t="shared" si="11"/>
        <v>5</v>
      </c>
      <c r="D75" s="25">
        <f t="shared" si="10"/>
        <v>42545</v>
      </c>
      <c r="E75" s="16">
        <f t="shared" si="6"/>
        <v>-1.1098637049520299E-3</v>
      </c>
      <c r="F75" s="17">
        <f t="shared" si="7"/>
        <v>-0.12481012925960289</v>
      </c>
      <c r="G75" s="18">
        <f t="shared" si="8"/>
        <v>-0.12370026555465086</v>
      </c>
      <c r="J75" s="28"/>
      <c r="K75" s="8">
        <v>42545</v>
      </c>
      <c r="L75" s="7">
        <v>15723.81</v>
      </c>
      <c r="M75" s="6">
        <v>17946.23</v>
      </c>
      <c r="N75" s="6">
        <v>17946.23</v>
      </c>
      <c r="O75" s="6">
        <v>15723.81</v>
      </c>
      <c r="P75" s="37">
        <v>2640000</v>
      </c>
    </row>
    <row r="76" spans="2:16" ht="15" thickBot="1">
      <c r="B76" s="9">
        <f t="shared" si="9"/>
        <v>17</v>
      </c>
      <c r="C76" s="15">
        <f t="shared" si="11"/>
        <v>4</v>
      </c>
      <c r="D76" s="25">
        <f t="shared" si="10"/>
        <v>42544</v>
      </c>
      <c r="E76" s="16">
        <f t="shared" si="6"/>
        <v>4.678100612644176E-3</v>
      </c>
      <c r="F76" s="17">
        <f t="shared" si="7"/>
        <v>3.7111930946062577E-2</v>
      </c>
      <c r="G76" s="18">
        <f t="shared" si="8"/>
        <v>3.2433830333418401E-2</v>
      </c>
      <c r="J76" s="28"/>
      <c r="K76" s="8">
        <v>42544</v>
      </c>
      <c r="L76" s="5">
        <v>17966.169999999998</v>
      </c>
      <c r="M76" s="6">
        <v>17404.310000000001</v>
      </c>
      <c r="N76" s="6">
        <v>17966.169999999998</v>
      </c>
      <c r="O76" s="6">
        <v>17293.919999999998</v>
      </c>
      <c r="P76" s="37">
        <v>1010000</v>
      </c>
    </row>
    <row r="77" spans="2:16" ht="15" thickBot="1">
      <c r="B77" s="9">
        <f t="shared" si="9"/>
        <v>16</v>
      </c>
      <c r="C77" s="15">
        <f t="shared" si="11"/>
        <v>3</v>
      </c>
      <c r="D77" s="25">
        <f t="shared" si="10"/>
        <v>42543</v>
      </c>
      <c r="E77" s="16">
        <f t="shared" si="6"/>
        <v>3.2550884421413961E-3</v>
      </c>
      <c r="F77" s="17">
        <f t="shared" si="7"/>
        <v>-6.1900606786576828E-3</v>
      </c>
      <c r="G77" s="18">
        <f t="shared" si="8"/>
        <v>-9.445149120799079E-3</v>
      </c>
      <c r="J77" s="28"/>
      <c r="K77" s="8">
        <v>42543</v>
      </c>
      <c r="L77" s="7">
        <v>17323.27</v>
      </c>
      <c r="M77" s="6">
        <v>17487.91</v>
      </c>
      <c r="N77" s="6">
        <v>17515.07</v>
      </c>
      <c r="O77" s="6">
        <v>17267.419999999998</v>
      </c>
      <c r="P77" s="37">
        <v>663620</v>
      </c>
    </row>
    <row r="78" spans="2:16" ht="15" thickBot="1">
      <c r="B78" s="9">
        <f t="shared" si="9"/>
        <v>15</v>
      </c>
      <c r="C78" s="15">
        <f t="shared" si="11"/>
        <v>2</v>
      </c>
      <c r="D78" s="25">
        <f t="shared" si="10"/>
        <v>42542</v>
      </c>
      <c r="E78" s="16">
        <f t="shared" si="6"/>
        <v>-1.884351526641681E-3</v>
      </c>
      <c r="F78" s="17">
        <f t="shared" si="7"/>
        <v>4.478648337938429E-3</v>
      </c>
      <c r="G78" s="18">
        <f t="shared" si="8"/>
        <v>6.36299986458011E-3</v>
      </c>
      <c r="J78" s="28"/>
      <c r="K78" s="8">
        <v>42542</v>
      </c>
      <c r="L78" s="5">
        <v>17431.169999999998</v>
      </c>
      <c r="M78" s="6">
        <v>17320.75</v>
      </c>
      <c r="N78" s="6">
        <v>17544.47</v>
      </c>
      <c r="O78" s="6">
        <v>17252.37</v>
      </c>
      <c r="P78" s="37">
        <v>778020</v>
      </c>
    </row>
    <row r="79" spans="2:16" ht="15" thickBot="1">
      <c r="B79" s="9">
        <f t="shared" si="9"/>
        <v>14</v>
      </c>
      <c r="C79" s="15">
        <f t="shared" si="11"/>
        <v>1</v>
      </c>
      <c r="D79" s="25">
        <f t="shared" si="10"/>
        <v>42541</v>
      </c>
      <c r="E79" s="16">
        <f t="shared" si="6"/>
        <v>1.621375039959716E-2</v>
      </c>
      <c r="F79" s="17">
        <f t="shared" si="7"/>
        <v>2.5418225415980045E-2</v>
      </c>
      <c r="G79" s="18">
        <f t="shared" si="8"/>
        <v>9.2044750163828848E-3</v>
      </c>
      <c r="J79" s="28"/>
      <c r="K79" s="8">
        <v>42541</v>
      </c>
      <c r="L79" s="5">
        <v>17353.45</v>
      </c>
      <c r="M79" s="6">
        <v>17197.68</v>
      </c>
      <c r="N79" s="6">
        <v>17423.43</v>
      </c>
      <c r="O79" s="6">
        <v>17196.97</v>
      </c>
      <c r="P79" s="37">
        <v>974520</v>
      </c>
    </row>
    <row r="80" spans="2:16" ht="15" thickBot="1">
      <c r="B80" s="9">
        <f t="shared" si="9"/>
        <v>13</v>
      </c>
      <c r="C80" s="15">
        <f t="shared" si="11"/>
        <v>5</v>
      </c>
      <c r="D80" s="25">
        <f t="shared" si="10"/>
        <v>42538</v>
      </c>
      <c r="E80" s="16">
        <f t="shared" si="6"/>
        <v>7.3123000996826448E-3</v>
      </c>
      <c r="F80" s="17">
        <f t="shared" si="7"/>
        <v>3.4943339917685501E-2</v>
      </c>
      <c r="G80" s="18">
        <f t="shared" si="8"/>
        <v>2.7631039818002856E-2</v>
      </c>
      <c r="J80" s="28"/>
      <c r="K80" s="8">
        <v>42538</v>
      </c>
      <c r="L80" s="5">
        <v>16923.29</v>
      </c>
      <c r="M80" s="6">
        <v>16471.47</v>
      </c>
      <c r="N80" s="6">
        <v>16963.45</v>
      </c>
      <c r="O80" s="6">
        <v>16471.47</v>
      </c>
      <c r="P80" s="37">
        <v>1210000</v>
      </c>
    </row>
    <row r="81" spans="2:16" ht="15" thickBot="1">
      <c r="B81" s="9">
        <f t="shared" si="9"/>
        <v>12</v>
      </c>
      <c r="C81" s="15">
        <f t="shared" si="11"/>
        <v>4</v>
      </c>
      <c r="D81" s="25">
        <f t="shared" si="10"/>
        <v>42537</v>
      </c>
      <c r="E81" s="16">
        <f t="shared" si="6"/>
        <v>-1.5238007577826562E-2</v>
      </c>
      <c r="F81" s="17">
        <f t="shared" si="7"/>
        <v>-9.8141149584262122E-3</v>
      </c>
      <c r="G81" s="18">
        <f t="shared" si="8"/>
        <v>5.4238926194003501E-3</v>
      </c>
      <c r="J81" s="28"/>
      <c r="K81" s="8">
        <v>42537</v>
      </c>
      <c r="L81" s="7">
        <v>16351.9</v>
      </c>
      <c r="M81" s="6">
        <v>16262.33</v>
      </c>
      <c r="N81" s="6">
        <v>16383.41</v>
      </c>
      <c r="O81" s="6">
        <v>16088.15</v>
      </c>
      <c r="P81" s="37">
        <v>1020000</v>
      </c>
    </row>
    <row r="82" spans="2:16" ht="15" thickBot="1">
      <c r="B82" s="9">
        <f t="shared" si="9"/>
        <v>11</v>
      </c>
      <c r="C82" s="15">
        <f t="shared" si="11"/>
        <v>3</v>
      </c>
      <c r="D82" s="25">
        <f t="shared" si="10"/>
        <v>42536</v>
      </c>
      <c r="E82" s="16">
        <f t="shared" si="6"/>
        <v>1.1662216103765166E-2</v>
      </c>
      <c r="F82" s="17">
        <f t="shared" si="7"/>
        <v>1.4910870948016131E-2</v>
      </c>
      <c r="G82" s="18">
        <f t="shared" si="8"/>
        <v>3.2486548442509644E-3</v>
      </c>
      <c r="J82" s="28"/>
      <c r="K82" s="8">
        <v>42536</v>
      </c>
      <c r="L82" s="5">
        <v>16513.97</v>
      </c>
      <c r="M82" s="6">
        <v>16461.11</v>
      </c>
      <c r="N82" s="6">
        <v>16615.689999999999</v>
      </c>
      <c r="O82" s="6">
        <v>16414.11</v>
      </c>
      <c r="P82" s="37">
        <v>930660</v>
      </c>
    </row>
    <row r="83" spans="2:16" ht="15" thickBot="1">
      <c r="B83" s="9">
        <f t="shared" si="9"/>
        <v>10</v>
      </c>
      <c r="C83" s="15">
        <f t="shared" si="11"/>
        <v>2</v>
      </c>
      <c r="D83" s="25">
        <f t="shared" si="10"/>
        <v>42535</v>
      </c>
      <c r="E83" s="16">
        <f t="shared" si="6"/>
        <v>-9.6830260373833577E-3</v>
      </c>
      <c r="F83" s="17">
        <f t="shared" si="7"/>
        <v>-2.1087880003874293E-2</v>
      </c>
      <c r="G83" s="18">
        <f t="shared" si="8"/>
        <v>-1.1404853966490935E-2</v>
      </c>
      <c r="J83" s="28"/>
      <c r="K83" s="8">
        <v>42535</v>
      </c>
      <c r="L83" s="7">
        <v>16271.35</v>
      </c>
      <c r="M83" s="6">
        <v>16460.919999999998</v>
      </c>
      <c r="N83" s="6">
        <v>16673.64</v>
      </c>
      <c r="O83" s="6">
        <v>16231.46</v>
      </c>
      <c r="P83" s="37">
        <v>1050000</v>
      </c>
    </row>
    <row r="84" spans="2:16" ht="15" thickBot="1">
      <c r="B84" s="9">
        <f t="shared" si="9"/>
        <v>9</v>
      </c>
      <c r="C84" s="15">
        <f t="shared" si="11"/>
        <v>1</v>
      </c>
      <c r="D84" s="25">
        <f t="shared" si="10"/>
        <v>42534</v>
      </c>
      <c r="E84" s="16">
        <f t="shared" si="6"/>
        <v>-1.5856744329492356E-2</v>
      </c>
      <c r="F84" s="17">
        <f t="shared" si="7"/>
        <v>-2.9105452285492661E-2</v>
      </c>
      <c r="G84" s="18">
        <f t="shared" si="8"/>
        <v>-1.3248707956000305E-2</v>
      </c>
      <c r="J84" s="28"/>
      <c r="K84" s="8">
        <v>42534</v>
      </c>
      <c r="L84" s="7">
        <v>16621.87</v>
      </c>
      <c r="M84" s="6">
        <v>16848.689999999999</v>
      </c>
      <c r="N84" s="6">
        <v>16933.259999999998</v>
      </c>
      <c r="O84" s="6">
        <v>16593.080000000002</v>
      </c>
      <c r="P84" s="37">
        <v>947050</v>
      </c>
    </row>
    <row r="85" spans="2:16" ht="15" thickBot="1">
      <c r="B85" s="9">
        <f t="shared" si="9"/>
        <v>8</v>
      </c>
      <c r="C85" s="15">
        <f t="shared" si="11"/>
        <v>5</v>
      </c>
      <c r="D85" s="25">
        <f t="shared" si="10"/>
        <v>42531</v>
      </c>
      <c r="E85" s="16">
        <f t="shared" si="6"/>
        <v>-3.9445211293929194E-3</v>
      </c>
      <c r="F85" s="17">
        <f t="shared" si="7"/>
        <v>-3.6237578727170039E-2</v>
      </c>
      <c r="G85" s="18">
        <f t="shared" si="8"/>
        <v>-3.2293057597777119E-2</v>
      </c>
      <c r="J85" s="28"/>
      <c r="K85" s="8">
        <v>42531</v>
      </c>
      <c r="L85" s="7">
        <v>17120.16</v>
      </c>
      <c r="M85" s="6">
        <v>17693.810000000001</v>
      </c>
      <c r="N85" s="6">
        <v>17705.68</v>
      </c>
      <c r="O85" s="6">
        <v>17106.25</v>
      </c>
      <c r="P85" s="37">
        <v>879350</v>
      </c>
    </row>
    <row r="86" spans="2:16" ht="15" thickBot="1">
      <c r="B86" s="9">
        <f t="shared" si="9"/>
        <v>7</v>
      </c>
      <c r="C86" s="15">
        <f t="shared" si="11"/>
        <v>4</v>
      </c>
      <c r="D86" s="25">
        <f t="shared" si="10"/>
        <v>42530</v>
      </c>
      <c r="E86" s="16">
        <f t="shared" si="6"/>
        <v>-1.0949373803023077E-3</v>
      </c>
      <c r="F86" s="17">
        <f t="shared" si="7"/>
        <v>-8.1419565933543714E-3</v>
      </c>
      <c r="G86" s="18">
        <f t="shared" si="8"/>
        <v>-7.0470192130520637E-3</v>
      </c>
      <c r="J86" s="28"/>
      <c r="K86" s="8">
        <v>42530</v>
      </c>
      <c r="L86" s="7">
        <v>17763.88</v>
      </c>
      <c r="M86" s="6">
        <v>17890.09</v>
      </c>
      <c r="N86" s="6">
        <v>17892.93</v>
      </c>
      <c r="O86" s="6">
        <v>17653.52</v>
      </c>
      <c r="P86" s="37">
        <v>557230</v>
      </c>
    </row>
    <row r="87" spans="2:16" ht="15" thickBot="1">
      <c r="B87" s="9">
        <f t="shared" si="9"/>
        <v>6</v>
      </c>
      <c r="C87" s="15">
        <f t="shared" si="11"/>
        <v>3</v>
      </c>
      <c r="D87" s="25">
        <f t="shared" si="10"/>
        <v>42529</v>
      </c>
      <c r="E87" s="16">
        <f t="shared" si="6"/>
        <v>-3.5025470793843549E-3</v>
      </c>
      <c r="F87" s="17">
        <f t="shared" si="7"/>
        <v>-3.6599836777746475E-3</v>
      </c>
      <c r="G87" s="18">
        <f t="shared" si="8"/>
        <v>-1.5743659839029256E-4</v>
      </c>
      <c r="J87" s="28"/>
      <c r="K87" s="8">
        <v>42529</v>
      </c>
      <c r="L87" s="7">
        <v>17909.7</v>
      </c>
      <c r="M87" s="6">
        <v>17912.53</v>
      </c>
      <c r="N87" s="6">
        <v>18000.5</v>
      </c>
      <c r="O87" s="6">
        <v>17799.45</v>
      </c>
      <c r="P87" s="37">
        <v>634360</v>
      </c>
    </row>
    <row r="88" spans="2:16" ht="15" thickBot="1">
      <c r="B88" s="9">
        <f t="shared" si="9"/>
        <v>5</v>
      </c>
      <c r="C88" s="15">
        <f t="shared" si="11"/>
        <v>2</v>
      </c>
      <c r="D88" s="25">
        <f t="shared" si="10"/>
        <v>42528</v>
      </c>
      <c r="E88" s="16">
        <f t="shared" si="6"/>
        <v>3.6686524822695521E-3</v>
      </c>
      <c r="F88" s="17">
        <f t="shared" si="7"/>
        <v>1.9885957446808655E-2</v>
      </c>
      <c r="G88" s="18">
        <f t="shared" si="8"/>
        <v>1.6217304964539103E-2</v>
      </c>
      <c r="J88" s="28"/>
      <c r="K88" s="8">
        <v>42528</v>
      </c>
      <c r="L88" s="5">
        <v>17975.490000000002</v>
      </c>
      <c r="M88" s="6">
        <v>17689.66</v>
      </c>
      <c r="N88" s="6">
        <v>17991.02</v>
      </c>
      <c r="O88" s="6">
        <v>17688.580000000002</v>
      </c>
      <c r="P88" s="37">
        <v>726480</v>
      </c>
    </row>
    <row r="89" spans="2:16" ht="15" thickBot="1">
      <c r="B89" s="9">
        <f t="shared" si="9"/>
        <v>4</v>
      </c>
      <c r="C89" s="15">
        <f t="shared" si="11"/>
        <v>1</v>
      </c>
      <c r="D89" s="25">
        <f t="shared" si="10"/>
        <v>42527</v>
      </c>
      <c r="E89" s="16">
        <f t="shared" si="6"/>
        <v>-2.5264231278604443E-3</v>
      </c>
      <c r="F89" s="17">
        <f t="shared" si="7"/>
        <v>7.4255119579265116E-3</v>
      </c>
      <c r="G89" s="18">
        <f t="shared" si="8"/>
        <v>9.951935085786956E-3</v>
      </c>
      <c r="J89" s="28"/>
      <c r="K89" s="8">
        <v>42527</v>
      </c>
      <c r="L89" s="5">
        <v>17625</v>
      </c>
      <c r="M89" s="6">
        <v>17450.89</v>
      </c>
      <c r="N89" s="6">
        <v>17636.650000000001</v>
      </c>
      <c r="O89" s="6">
        <v>17400.400000000001</v>
      </c>
      <c r="P89" s="37">
        <v>518200</v>
      </c>
    </row>
    <row r="90" spans="2:16" ht="15" thickBot="1">
      <c r="B90" s="9">
        <f t="shared" si="9"/>
        <v>3</v>
      </c>
      <c r="C90" s="15">
        <f t="shared" si="11"/>
        <v>5</v>
      </c>
      <c r="D90" s="25">
        <f t="shared" si="10"/>
        <v>42524</v>
      </c>
      <c r="E90" s="16">
        <f t="shared" si="6"/>
        <v>5.4414570587539846E-3</v>
      </c>
      <c r="F90" s="17">
        <f t="shared" si="7"/>
        <v>-1.532084222138419E-2</v>
      </c>
      <c r="G90" s="18">
        <f t="shared" si="8"/>
        <v>-2.0762299280138174E-2</v>
      </c>
      <c r="J90" s="28"/>
      <c r="K90" s="8">
        <v>42524</v>
      </c>
      <c r="L90" s="7">
        <v>17495.09</v>
      </c>
      <c r="M90" s="6">
        <v>17863.98</v>
      </c>
      <c r="N90" s="6">
        <v>17867.080000000002</v>
      </c>
      <c r="O90" s="6">
        <v>17431.37</v>
      </c>
      <c r="P90" s="37">
        <v>639130</v>
      </c>
    </row>
    <row r="91" spans="2:16" ht="15" thickBot="1">
      <c r="B91" s="9">
        <f t="shared" si="9"/>
        <v>2</v>
      </c>
      <c r="C91" s="15">
        <f t="shared" si="11"/>
        <v>4</v>
      </c>
      <c r="D91" s="25">
        <f t="shared" si="10"/>
        <v>42523</v>
      </c>
      <c r="E91" s="16">
        <f t="shared" si="6"/>
        <v>1.4221668252778485E-3</v>
      </c>
      <c r="F91" s="17">
        <f t="shared" si="7"/>
        <v>-2.4451387777674194E-3</v>
      </c>
      <c r="G91" s="18">
        <f t="shared" si="8"/>
        <v>-3.8673056030452679E-3</v>
      </c>
      <c r="J91" s="28"/>
      <c r="K91" s="8">
        <v>42523</v>
      </c>
      <c r="L91" s="7">
        <v>17767.3</v>
      </c>
      <c r="M91" s="6">
        <v>17836.18</v>
      </c>
      <c r="N91" s="6">
        <v>18009.52</v>
      </c>
      <c r="O91" s="6">
        <v>17740.88</v>
      </c>
      <c r="P91" s="37">
        <v>606480</v>
      </c>
    </row>
    <row r="92" spans="2:16" ht="15" thickBot="1">
      <c r="B92" s="19">
        <v>1</v>
      </c>
      <c r="C92" s="15">
        <f t="shared" si="11"/>
        <v>3</v>
      </c>
      <c r="D92" s="25">
        <f t="shared" si="10"/>
        <v>42522</v>
      </c>
      <c r="E92" s="16">
        <f t="shared" si="6"/>
        <v>1.3930458662154699E-3</v>
      </c>
      <c r="F92" s="17">
        <f t="shared" si="7"/>
        <v>-1.1894425874814596E-2</v>
      </c>
      <c r="G92" s="18">
        <f t="shared" si="8"/>
        <v>-1.3287471741030066E-2</v>
      </c>
      <c r="J92" s="28"/>
      <c r="K92" s="8">
        <v>42522</v>
      </c>
      <c r="L92" s="7">
        <v>17810.849999999999</v>
      </c>
      <c r="M92" s="6">
        <v>18050.36</v>
      </c>
      <c r="N92" s="6">
        <v>18055.64</v>
      </c>
      <c r="O92" s="6">
        <v>17745.61</v>
      </c>
      <c r="P92" s="37">
        <v>655810</v>
      </c>
    </row>
    <row r="93" spans="2:16" ht="15" thickBot="1">
      <c r="B93" s="9">
        <f t="shared" si="9"/>
        <v>22</v>
      </c>
      <c r="C93" s="15">
        <f t="shared" si="11"/>
        <v>2</v>
      </c>
      <c r="D93" s="25">
        <f t="shared" si="10"/>
        <v>42521</v>
      </c>
      <c r="E93" s="16">
        <f t="shared" si="6"/>
        <v>-5.3139784969757908E-4</v>
      </c>
      <c r="F93" s="17">
        <f t="shared" si="7"/>
        <v>-1.4549476310699361E-2</v>
      </c>
      <c r="G93" s="18">
        <f t="shared" si="8"/>
        <v>-1.4018078461001782E-2</v>
      </c>
      <c r="J93" s="28"/>
      <c r="K93" s="8">
        <v>42521</v>
      </c>
      <c r="L93" s="7">
        <v>18025.25</v>
      </c>
      <c r="M93" s="6">
        <v>18281.66</v>
      </c>
      <c r="N93" s="6">
        <v>18326.52</v>
      </c>
      <c r="O93" s="6">
        <v>18002.54</v>
      </c>
      <c r="P93" s="37">
        <v>866820</v>
      </c>
    </row>
    <row r="94" spans="2:16" ht="15" thickBot="1">
      <c r="B94" s="9">
        <f t="shared" si="9"/>
        <v>21</v>
      </c>
      <c r="C94" s="15">
        <f t="shared" si="11"/>
        <v>1</v>
      </c>
      <c r="D94" s="25">
        <f t="shared" si="10"/>
        <v>42520</v>
      </c>
      <c r="E94" s="16">
        <f t="shared" si="6"/>
        <v>1.8888010319948467E-3</v>
      </c>
      <c r="F94" s="17">
        <f t="shared" si="7"/>
        <v>5.7868244718231043E-3</v>
      </c>
      <c r="G94" s="18">
        <f t="shared" si="8"/>
        <v>3.8980234398282576E-3</v>
      </c>
      <c r="J94" s="28"/>
      <c r="K94" s="8">
        <v>42520</v>
      </c>
      <c r="L94" s="5">
        <v>18291.38</v>
      </c>
      <c r="M94" s="6">
        <v>18220.490000000002</v>
      </c>
      <c r="N94" s="6">
        <v>18321.400000000001</v>
      </c>
      <c r="O94" s="6">
        <v>18197.66</v>
      </c>
      <c r="P94" s="37">
        <v>360220</v>
      </c>
    </row>
    <row r="95" spans="2:16" ht="15" thickBot="1">
      <c r="B95" s="9">
        <f t="shared" si="9"/>
        <v>20</v>
      </c>
      <c r="C95" s="15">
        <f t="shared" si="11"/>
        <v>5</v>
      </c>
      <c r="D95" s="25">
        <f t="shared" si="10"/>
        <v>42517</v>
      </c>
      <c r="E95" s="16">
        <f t="shared" si="6"/>
        <v>-3.5104726814410014E-3</v>
      </c>
      <c r="F95" s="17">
        <f t="shared" si="7"/>
        <v>-1.6896379849062892E-3</v>
      </c>
      <c r="G95" s="18">
        <f t="shared" si="8"/>
        <v>1.8208346965347122E-3</v>
      </c>
      <c r="J95" s="28"/>
      <c r="K95" s="8">
        <v>42517</v>
      </c>
      <c r="L95" s="7">
        <v>18186.14</v>
      </c>
      <c r="M95" s="6">
        <v>18152.97</v>
      </c>
      <c r="N95" s="6">
        <v>18216.12</v>
      </c>
      <c r="O95" s="6">
        <v>18088.07</v>
      </c>
      <c r="P95" s="37">
        <v>475430</v>
      </c>
    </row>
    <row r="96" spans="2:16" ht="15" thickBot="1">
      <c r="B96" s="9">
        <f t="shared" si="9"/>
        <v>19</v>
      </c>
      <c r="C96" s="15">
        <f t="shared" si="11"/>
        <v>4</v>
      </c>
      <c r="D96" s="25">
        <f t="shared" si="10"/>
        <v>42516</v>
      </c>
      <c r="E96" s="16">
        <f t="shared" si="6"/>
        <v>-4.5721782786919407E-3</v>
      </c>
      <c r="F96" s="17">
        <f t="shared" si="7"/>
        <v>8.5323153890981551E-4</v>
      </c>
      <c r="G96" s="18">
        <f t="shared" si="8"/>
        <v>5.4254098176017562E-3</v>
      </c>
      <c r="J96" s="28"/>
      <c r="K96" s="8">
        <v>42516</v>
      </c>
      <c r="L96" s="5">
        <v>18216.919999999998</v>
      </c>
      <c r="M96" s="6">
        <v>18118.169999999998</v>
      </c>
      <c r="N96" s="6">
        <v>18242.97</v>
      </c>
      <c r="O96" s="6">
        <v>18071.810000000001</v>
      </c>
      <c r="P96" s="37">
        <v>693040</v>
      </c>
    </row>
    <row r="97" spans="2:16" ht="15" thickBot="1">
      <c r="B97" s="9">
        <f t="shared" si="9"/>
        <v>18</v>
      </c>
      <c r="C97" s="15">
        <f t="shared" si="11"/>
        <v>3</v>
      </c>
      <c r="D97" s="25">
        <f t="shared" si="10"/>
        <v>42515</v>
      </c>
      <c r="E97" s="16">
        <f t="shared" si="6"/>
        <v>5.8646210868316118E-3</v>
      </c>
      <c r="F97" s="17">
        <f t="shared" si="7"/>
        <v>1.6611958129956639E-2</v>
      </c>
      <c r="G97" s="18">
        <f t="shared" si="8"/>
        <v>1.0747337043125027E-2</v>
      </c>
      <c r="J97" s="28"/>
      <c r="K97" s="8">
        <v>42515</v>
      </c>
      <c r="L97" s="5">
        <v>18201.39</v>
      </c>
      <c r="M97" s="6">
        <v>18008.97</v>
      </c>
      <c r="N97" s="6">
        <v>18216.830000000002</v>
      </c>
      <c r="O97" s="6">
        <v>17975.54</v>
      </c>
      <c r="P97" s="37">
        <v>929290</v>
      </c>
    </row>
    <row r="98" spans="2:16" ht="15" thickBot="1">
      <c r="B98" s="9">
        <f t="shared" si="9"/>
        <v>17</v>
      </c>
      <c r="C98" s="15">
        <f t="shared" si="11"/>
        <v>2</v>
      </c>
      <c r="D98" s="25">
        <f t="shared" si="10"/>
        <v>42514</v>
      </c>
      <c r="E98" s="16">
        <f t="shared" si="6"/>
        <v>-2.9592936944591308E-3</v>
      </c>
      <c r="F98" s="17">
        <f t="shared" si="7"/>
        <v>3.3413409923648274E-2</v>
      </c>
      <c r="G98" s="18">
        <f t="shared" si="8"/>
        <v>3.6372703618107405E-2</v>
      </c>
      <c r="J98" s="28"/>
      <c r="K98" s="8">
        <v>42514</v>
      </c>
      <c r="L98" s="5">
        <v>17903.97</v>
      </c>
      <c r="M98" s="6">
        <v>17273.810000000001</v>
      </c>
      <c r="N98" s="6">
        <v>17927.66</v>
      </c>
      <c r="O98" s="6">
        <v>17247.62</v>
      </c>
      <c r="P98" s="37">
        <v>850530</v>
      </c>
    </row>
    <row r="99" spans="2:16" ht="15" thickBot="1">
      <c r="B99" s="9">
        <f t="shared" si="9"/>
        <v>16</v>
      </c>
      <c r="C99" s="15">
        <f t="shared" si="11"/>
        <v>1</v>
      </c>
      <c r="D99" s="25">
        <f t="shared" si="10"/>
        <v>42513</v>
      </c>
      <c r="E99" s="16">
        <f t="shared" si="6"/>
        <v>-1.6302172369170642E-2</v>
      </c>
      <c r="F99" s="17">
        <f t="shared" si="7"/>
        <v>-2.7355739136048718E-2</v>
      </c>
      <c r="G99" s="18">
        <f t="shared" si="8"/>
        <v>-1.1053566766878076E-2</v>
      </c>
      <c r="J99" s="28"/>
      <c r="K99" s="8">
        <v>42513</v>
      </c>
      <c r="L99" s="7">
        <v>17325.080000000002</v>
      </c>
      <c r="M99" s="6">
        <v>17521.97</v>
      </c>
      <c r="N99" s="6">
        <v>17624.77</v>
      </c>
      <c r="O99" s="6">
        <v>17272.18</v>
      </c>
      <c r="P99" s="37">
        <v>665530</v>
      </c>
    </row>
    <row r="100" spans="2:16" ht="15" thickBot="1">
      <c r="B100" s="9">
        <f t="shared" si="9"/>
        <v>15</v>
      </c>
      <c r="C100" s="15">
        <f t="shared" si="11"/>
        <v>5</v>
      </c>
      <c r="D100" s="25">
        <f t="shared" si="10"/>
        <v>42510</v>
      </c>
      <c r="E100" s="16">
        <f t="shared" si="6"/>
        <v>7.3454480791719234E-3</v>
      </c>
      <c r="F100" s="17">
        <f t="shared" si="7"/>
        <v>1.5205556277485321E-2</v>
      </c>
      <c r="G100" s="18">
        <f t="shared" si="8"/>
        <v>7.860108198313398E-3</v>
      </c>
      <c r="J100" s="28"/>
      <c r="K100" s="8">
        <v>42510</v>
      </c>
      <c r="L100" s="5">
        <v>17812.349999999999</v>
      </c>
      <c r="M100" s="6">
        <v>17674.439999999999</v>
      </c>
      <c r="N100" s="6">
        <v>17878.189999999999</v>
      </c>
      <c r="O100" s="6">
        <v>17668.13</v>
      </c>
      <c r="P100" s="37">
        <v>760710</v>
      </c>
    </row>
    <row r="101" spans="2:16" ht="15" thickBot="1">
      <c r="B101" s="9">
        <f t="shared" si="9"/>
        <v>14</v>
      </c>
      <c r="C101" s="15">
        <f t="shared" si="11"/>
        <v>4</v>
      </c>
      <c r="D101" s="25">
        <f t="shared" si="10"/>
        <v>42509</v>
      </c>
      <c r="E101" s="16">
        <f t="shared" si="6"/>
        <v>-5.7791687977950534E-3</v>
      </c>
      <c r="F101" s="17">
        <f t="shared" si="7"/>
        <v>-9.4876146151943175E-3</v>
      </c>
      <c r="G101" s="18">
        <f t="shared" si="8"/>
        <v>-3.708445817399264E-3</v>
      </c>
      <c r="J101" s="28"/>
      <c r="K101" s="8">
        <v>42509</v>
      </c>
      <c r="L101" s="7">
        <v>17545.560000000001</v>
      </c>
      <c r="M101" s="6">
        <v>17611.25</v>
      </c>
      <c r="N101" s="6">
        <v>17810.330000000002</v>
      </c>
      <c r="O101" s="6">
        <v>17498.18</v>
      </c>
      <c r="P101" s="37">
        <v>767930</v>
      </c>
    </row>
    <row r="102" spans="2:16" ht="15" thickBot="1">
      <c r="B102" s="9">
        <f t="shared" si="9"/>
        <v>13</v>
      </c>
      <c r="C102" s="15">
        <f t="shared" si="11"/>
        <v>3</v>
      </c>
      <c r="D102" s="25">
        <f t="shared" si="10"/>
        <v>42508</v>
      </c>
      <c r="E102" s="16">
        <f t="shared" si="6"/>
        <v>-4.6631555848146711E-3</v>
      </c>
      <c r="F102" s="17">
        <f t="shared" si="7"/>
        <v>1.2271642527978743E-2</v>
      </c>
      <c r="G102" s="18">
        <f t="shared" si="8"/>
        <v>1.6934798112793414E-2</v>
      </c>
      <c r="J102" s="28"/>
      <c r="K102" s="8">
        <v>42508</v>
      </c>
      <c r="L102" s="5">
        <v>17713.62</v>
      </c>
      <c r="M102" s="6">
        <v>17417.28</v>
      </c>
      <c r="N102" s="6">
        <v>17725.03</v>
      </c>
      <c r="O102" s="6">
        <v>17370.490000000002</v>
      </c>
      <c r="P102" s="37">
        <v>621140</v>
      </c>
    </row>
    <row r="103" spans="2:16" ht="15" thickBot="1">
      <c r="B103" s="9">
        <f t="shared" si="9"/>
        <v>12</v>
      </c>
      <c r="C103" s="15">
        <f t="shared" si="11"/>
        <v>2</v>
      </c>
      <c r="D103" s="25">
        <f t="shared" si="10"/>
        <v>42507</v>
      </c>
      <c r="E103" s="16">
        <f t="shared" si="6"/>
        <v>4.4759491729726708E-3</v>
      </c>
      <c r="F103" s="17">
        <f t="shared" si="7"/>
        <v>-1.3426156141223222E-2</v>
      </c>
      <c r="G103" s="18">
        <f t="shared" si="8"/>
        <v>-1.7902105314195893E-2</v>
      </c>
      <c r="J103" s="28"/>
      <c r="K103" s="8">
        <v>42507</v>
      </c>
      <c r="L103" s="7">
        <v>17498.88</v>
      </c>
      <c r="M103" s="6">
        <v>17816.41</v>
      </c>
      <c r="N103" s="6">
        <v>18014.22</v>
      </c>
      <c r="O103" s="6">
        <v>17373.080000000002</v>
      </c>
      <c r="P103" s="37">
        <v>897660</v>
      </c>
    </row>
    <row r="104" spans="2:16" ht="15" thickBot="1">
      <c r="B104" s="9">
        <f t="shared" si="9"/>
        <v>11</v>
      </c>
      <c r="C104" s="15">
        <f t="shared" si="11"/>
        <v>1</v>
      </c>
      <c r="D104" s="25">
        <f t="shared" si="10"/>
        <v>42506</v>
      </c>
      <c r="E104" s="16">
        <f t="shared" si="6"/>
        <v>-4.3345958278458996E-3</v>
      </c>
      <c r="F104" s="17">
        <f t="shared" si="7"/>
        <v>4.2697319995821381E-4</v>
      </c>
      <c r="G104" s="18">
        <f t="shared" si="8"/>
        <v>4.7615690278041134E-3</v>
      </c>
      <c r="J104" s="28"/>
      <c r="K104" s="8">
        <v>42506</v>
      </c>
      <c r="L104" s="5">
        <v>17737.02</v>
      </c>
      <c r="M104" s="6">
        <v>17652.599999999999</v>
      </c>
      <c r="N104" s="6">
        <v>17778.810000000001</v>
      </c>
      <c r="O104" s="6">
        <v>17534.75</v>
      </c>
      <c r="P104" s="37">
        <v>597700</v>
      </c>
    </row>
    <row r="105" spans="2:16" ht="15" thickBot="1">
      <c r="B105" s="9">
        <f t="shared" si="9"/>
        <v>10</v>
      </c>
      <c r="C105" s="15">
        <f t="shared" si="11"/>
        <v>5</v>
      </c>
      <c r="D105" s="25">
        <f t="shared" si="10"/>
        <v>42503</v>
      </c>
      <c r="E105" s="16">
        <f t="shared" si="6"/>
        <v>-5.0262416040464108E-3</v>
      </c>
      <c r="F105" s="17">
        <f t="shared" si="7"/>
        <v>4.4240217184399189E-3</v>
      </c>
      <c r="G105" s="18">
        <f t="shared" si="8"/>
        <v>9.4502633224863297E-3</v>
      </c>
      <c r="J105" s="28"/>
      <c r="K105" s="8">
        <v>42503</v>
      </c>
      <c r="L105" s="5">
        <v>17729.45</v>
      </c>
      <c r="M105" s="6">
        <v>17562.64</v>
      </c>
      <c r="N105" s="6">
        <v>17856.96</v>
      </c>
      <c r="O105" s="6">
        <v>17434.14</v>
      </c>
      <c r="P105" s="37">
        <v>711220</v>
      </c>
    </row>
    <row r="106" spans="2:16" ht="15" thickBot="1">
      <c r="B106" s="9">
        <f t="shared" si="9"/>
        <v>9</v>
      </c>
      <c r="C106" s="15">
        <f t="shared" si="11"/>
        <v>4</v>
      </c>
      <c r="D106" s="25">
        <f t="shared" si="10"/>
        <v>42502</v>
      </c>
      <c r="E106" s="16">
        <f t="shared" si="6"/>
        <v>-4.0043891766792239E-3</v>
      </c>
      <c r="F106" s="17">
        <f t="shared" si="7"/>
        <v>-2.6398343775144717E-3</v>
      </c>
      <c r="G106" s="18">
        <f t="shared" si="8"/>
        <v>1.3645547991647522E-3</v>
      </c>
      <c r="J106" s="28"/>
      <c r="K106" s="8">
        <v>42502</v>
      </c>
      <c r="L106" s="7">
        <v>17651.36</v>
      </c>
      <c r="M106" s="6">
        <v>17627.21</v>
      </c>
      <c r="N106" s="6">
        <v>17912.62</v>
      </c>
      <c r="O106" s="6">
        <v>17555.54</v>
      </c>
      <c r="P106" s="37">
        <v>728800</v>
      </c>
    </row>
    <row r="107" spans="2:16" ht="15" thickBot="1">
      <c r="B107" s="9">
        <f t="shared" si="9"/>
        <v>8</v>
      </c>
      <c r="C107" s="15">
        <f t="shared" si="11"/>
        <v>3</v>
      </c>
      <c r="D107" s="25">
        <f t="shared" si="10"/>
        <v>42501</v>
      </c>
      <c r="E107" s="16">
        <f t="shared" si="6"/>
        <v>-1.1145978303537252E-3</v>
      </c>
      <c r="F107" s="17">
        <f t="shared" si="7"/>
        <v>-1.3194518788138265E-2</v>
      </c>
      <c r="G107" s="18">
        <f t="shared" si="8"/>
        <v>-1.207992095778454E-2</v>
      </c>
      <c r="J107" s="28"/>
      <c r="K107" s="8">
        <v>42501</v>
      </c>
      <c r="L107" s="7">
        <v>17698.080000000002</v>
      </c>
      <c r="M107" s="6">
        <v>17914.73</v>
      </c>
      <c r="N107" s="6">
        <v>17946.39</v>
      </c>
      <c r="O107" s="6">
        <v>17509.599999999999</v>
      </c>
      <c r="P107" s="37">
        <v>867410</v>
      </c>
    </row>
    <row r="108" spans="2:16" ht="15" thickBot="1">
      <c r="B108" s="9">
        <f t="shared" si="9"/>
        <v>7</v>
      </c>
      <c r="C108" s="15">
        <f t="shared" si="11"/>
        <v>2</v>
      </c>
      <c r="D108" s="25">
        <f t="shared" si="10"/>
        <v>42500</v>
      </c>
      <c r="E108" s="16">
        <f t="shared" si="6"/>
        <v>7.5037600787071224E-3</v>
      </c>
      <c r="F108" s="17">
        <f t="shared" si="7"/>
        <v>1.4074568297730572E-2</v>
      </c>
      <c r="G108" s="18">
        <f t="shared" si="8"/>
        <v>6.5708082190234496E-3</v>
      </c>
      <c r="J108" s="28"/>
      <c r="K108" s="8">
        <v>42500</v>
      </c>
      <c r="L108" s="5">
        <v>17934.72</v>
      </c>
      <c r="M108" s="6">
        <v>17818.509999999998</v>
      </c>
      <c r="N108" s="6">
        <v>18067.84</v>
      </c>
      <c r="O108" s="6">
        <v>17742.099999999999</v>
      </c>
      <c r="P108" s="37">
        <v>724330</v>
      </c>
    </row>
    <row r="109" spans="2:16" ht="15" thickBot="1">
      <c r="B109" s="9">
        <f t="shared" si="9"/>
        <v>6</v>
      </c>
      <c r="C109" s="15">
        <f t="shared" si="11"/>
        <v>1</v>
      </c>
      <c r="D109" s="25">
        <f t="shared" si="10"/>
        <v>42499</v>
      </c>
      <c r="E109" s="16">
        <f t="shared" si="6"/>
        <v>7.0347703275270845E-3</v>
      </c>
      <c r="F109" s="17">
        <f t="shared" si="7"/>
        <v>-8.7990674109444944E-3</v>
      </c>
      <c r="G109" s="18">
        <f t="shared" si="8"/>
        <v>-1.5833837738471579E-2</v>
      </c>
      <c r="J109" s="28"/>
      <c r="K109" s="8">
        <v>42499</v>
      </c>
      <c r="L109" s="7">
        <v>17685.8</v>
      </c>
      <c r="M109" s="6">
        <v>17968.32</v>
      </c>
      <c r="N109" s="6">
        <v>17973.2</v>
      </c>
      <c r="O109" s="6">
        <v>17652.72</v>
      </c>
      <c r="P109" s="37">
        <v>618770</v>
      </c>
    </row>
    <row r="110" spans="2:16" ht="15" thickBot="1">
      <c r="B110" s="9">
        <f t="shared" si="9"/>
        <v>5</v>
      </c>
      <c r="C110" s="15">
        <f t="shared" si="11"/>
        <v>5</v>
      </c>
      <c r="D110" s="25">
        <f t="shared" si="10"/>
        <v>42496</v>
      </c>
      <c r="E110" s="16">
        <f t="shared" si="6"/>
        <v>-1.5967507071564802E-3</v>
      </c>
      <c r="F110" s="17">
        <f t="shared" si="7"/>
        <v>-4.5246849179030324E-3</v>
      </c>
      <c r="G110" s="18">
        <f t="shared" si="8"/>
        <v>-2.9279342107465522E-3</v>
      </c>
      <c r="J110" s="28"/>
      <c r="K110" s="8">
        <v>42496</v>
      </c>
      <c r="L110" s="7">
        <v>17842.8</v>
      </c>
      <c r="M110" s="6">
        <v>17895.28</v>
      </c>
      <c r="N110" s="6">
        <v>17989.759999999998</v>
      </c>
      <c r="O110" s="6">
        <v>17592.13</v>
      </c>
      <c r="P110" s="37">
        <v>707850</v>
      </c>
    </row>
    <row r="111" spans="2:16" ht="15" thickBot="1">
      <c r="B111" s="9">
        <f t="shared" si="9"/>
        <v>4</v>
      </c>
      <c r="C111" s="15">
        <f t="shared" si="11"/>
        <v>4</v>
      </c>
      <c r="D111" s="25">
        <f t="shared" si="10"/>
        <v>42495</v>
      </c>
      <c r="E111" s="16">
        <f t="shared" si="6"/>
        <v>4.8205614844609723E-3</v>
      </c>
      <c r="F111" s="17">
        <f t="shared" si="7"/>
        <v>-6.5623419699389895E-4</v>
      </c>
      <c r="G111" s="18">
        <f t="shared" si="8"/>
        <v>-5.4767956814548713E-3</v>
      </c>
      <c r="J111" s="28"/>
      <c r="K111" s="8">
        <v>42495</v>
      </c>
      <c r="L111" s="7">
        <v>17923.900000000001</v>
      </c>
      <c r="M111" s="6">
        <v>18022.13</v>
      </c>
      <c r="N111" s="6">
        <v>18215.25</v>
      </c>
      <c r="O111" s="6">
        <v>17846.36</v>
      </c>
      <c r="P111" s="37">
        <v>655250</v>
      </c>
    </row>
    <row r="112" spans="2:16" ht="15" thickBot="1">
      <c r="B112" s="9">
        <f t="shared" si="9"/>
        <v>3</v>
      </c>
      <c r="C112" s="15">
        <f t="shared" si="11"/>
        <v>3</v>
      </c>
      <c r="D112" s="25">
        <f t="shared" si="10"/>
        <v>42494</v>
      </c>
      <c r="E112" s="16">
        <f t="shared" si="6"/>
        <v>1.0408080232382488E-3</v>
      </c>
      <c r="F112" s="17">
        <f t="shared" si="7"/>
        <v>-1.7331958205158982E-3</v>
      </c>
      <c r="G112" s="18">
        <f t="shared" si="8"/>
        <v>-2.774003843754147E-3</v>
      </c>
      <c r="J112" s="28"/>
      <c r="K112" s="8">
        <v>42494</v>
      </c>
      <c r="L112" s="7">
        <v>17935.669999999998</v>
      </c>
      <c r="M112" s="6">
        <v>17985.509999999998</v>
      </c>
      <c r="N112" s="6">
        <v>18130.68</v>
      </c>
      <c r="O112" s="6">
        <v>17909.62</v>
      </c>
      <c r="P112" s="37">
        <v>696430</v>
      </c>
    </row>
    <row r="113" spans="2:16" ht="15" thickBot="1">
      <c r="B113" s="9">
        <f t="shared" si="9"/>
        <v>2</v>
      </c>
      <c r="C113" s="15">
        <f t="shared" si="11"/>
        <v>2</v>
      </c>
      <c r="D113" s="25">
        <f t="shared" si="10"/>
        <v>42493</v>
      </c>
      <c r="E113" s="16">
        <f t="shared" si="6"/>
        <v>-1.026046377296308E-3</v>
      </c>
      <c r="F113" s="17">
        <f t="shared" si="7"/>
        <v>-2.4614798303169039E-2</v>
      </c>
      <c r="G113" s="18">
        <f t="shared" si="8"/>
        <v>-2.3588751925872731E-2</v>
      </c>
      <c r="J113" s="28"/>
      <c r="K113" s="8">
        <v>42493</v>
      </c>
      <c r="L113" s="7">
        <v>17966.810000000001</v>
      </c>
      <c r="M113" s="6">
        <v>18401.32</v>
      </c>
      <c r="N113" s="6">
        <v>18412.05</v>
      </c>
      <c r="O113" s="6">
        <v>17889.22</v>
      </c>
      <c r="P113" s="37">
        <v>805810</v>
      </c>
    </row>
    <row r="114" spans="2:16" ht="15" thickBot="1">
      <c r="B114" s="19">
        <v>1</v>
      </c>
      <c r="C114" s="15">
        <f t="shared" si="11"/>
        <v>1</v>
      </c>
      <c r="D114" s="25">
        <f t="shared" si="10"/>
        <v>42492</v>
      </c>
      <c r="E114" s="16">
        <f t="shared" si="6"/>
        <v>4.7799636139986834E-3</v>
      </c>
      <c r="F114" s="17">
        <f t="shared" si="7"/>
        <v>-9.6954070200037101E-3</v>
      </c>
      <c r="G114" s="18">
        <f t="shared" si="8"/>
        <v>-1.4475370634002394E-2</v>
      </c>
      <c r="J114" s="28"/>
      <c r="K114" s="8">
        <v>42492</v>
      </c>
      <c r="L114" s="7">
        <v>18420.22</v>
      </c>
      <c r="M114" s="6">
        <v>18689.47</v>
      </c>
      <c r="N114" s="6">
        <v>18689.47</v>
      </c>
      <c r="O114" s="6">
        <v>18271.38</v>
      </c>
      <c r="P114" s="37">
        <v>719440</v>
      </c>
    </row>
    <row r="115" spans="2:16" ht="15" thickBot="1">
      <c r="B115" s="9">
        <f t="shared" si="9"/>
        <v>21</v>
      </c>
      <c r="C115" s="15">
        <f t="shared" si="11"/>
        <v>5</v>
      </c>
      <c r="D115" s="25">
        <f t="shared" si="10"/>
        <v>42489</v>
      </c>
      <c r="E115" s="16">
        <f t="shared" si="6"/>
        <v>-9.2682029709046931E-3</v>
      </c>
      <c r="F115" s="17">
        <f t="shared" si="7"/>
        <v>-1.982166561010823E-2</v>
      </c>
      <c r="G115" s="18">
        <f t="shared" si="8"/>
        <v>-1.0553462639203537E-2</v>
      </c>
      <c r="J115" s="28"/>
      <c r="K115" s="8">
        <v>42489</v>
      </c>
      <c r="L115" s="7">
        <v>18600.560000000001</v>
      </c>
      <c r="M115" s="6">
        <v>18800.830000000002</v>
      </c>
      <c r="N115" s="6">
        <v>19062.810000000001</v>
      </c>
      <c r="O115" s="6">
        <v>18600.560000000001</v>
      </c>
      <c r="P115" s="37">
        <v>829940</v>
      </c>
    </row>
    <row r="116" spans="2:16" ht="14.4" customHeight="1" thickBot="1">
      <c r="B116" s="9">
        <f t="shared" si="9"/>
        <v>20</v>
      </c>
      <c r="C116" s="15">
        <f t="shared" si="11"/>
        <v>4</v>
      </c>
      <c r="D116" s="25">
        <f t="shared" si="10"/>
        <v>42488</v>
      </c>
      <c r="E116" s="16">
        <f t="shared" si="6"/>
        <v>-5.3848886063500023E-3</v>
      </c>
      <c r="F116" s="17">
        <f t="shared" si="7"/>
        <v>1.2057734624241867E-2</v>
      </c>
      <c r="G116" s="18">
        <f t="shared" si="8"/>
        <v>1.7442623230591869E-2</v>
      </c>
      <c r="J116" s="28"/>
      <c r="K116" s="8">
        <v>42488</v>
      </c>
      <c r="L116" s="5">
        <v>18976.71</v>
      </c>
      <c r="M116" s="6">
        <v>18649.650000000001</v>
      </c>
      <c r="N116" s="6">
        <v>19023.48</v>
      </c>
      <c r="O116" s="6">
        <v>18540.11</v>
      </c>
      <c r="P116" s="37">
        <v>1020000</v>
      </c>
    </row>
    <row r="117" spans="2:16" ht="15" thickBot="1">
      <c r="B117" s="9">
        <f t="shared" si="9"/>
        <v>19</v>
      </c>
      <c r="C117" s="15">
        <f t="shared" si="11"/>
        <v>3</v>
      </c>
      <c r="D117" s="25">
        <f t="shared" si="10"/>
        <v>42487</v>
      </c>
      <c r="E117" s="16">
        <f t="shared" si="6"/>
        <v>2.0240583897193076E-3</v>
      </c>
      <c r="F117" s="17">
        <f t="shared" si="7"/>
        <v>4.296102763677867E-3</v>
      </c>
      <c r="G117" s="18">
        <f t="shared" si="8"/>
        <v>2.2720443739585594E-3</v>
      </c>
      <c r="J117" s="28"/>
      <c r="K117" s="8">
        <v>42487</v>
      </c>
      <c r="L117" s="5">
        <v>18750.62</v>
      </c>
      <c r="M117" s="6">
        <v>18708.2</v>
      </c>
      <c r="N117" s="6">
        <v>18779.560000000001</v>
      </c>
      <c r="O117" s="6">
        <v>18595.05</v>
      </c>
      <c r="P117" s="37">
        <v>668400</v>
      </c>
    </row>
    <row r="118" spans="2:16" ht="15" thickBot="1">
      <c r="B118" s="9">
        <f t="shared" si="9"/>
        <v>18</v>
      </c>
      <c r="C118" s="15">
        <f t="shared" si="11"/>
        <v>2</v>
      </c>
      <c r="D118" s="25">
        <f t="shared" si="10"/>
        <v>42486</v>
      </c>
      <c r="E118" s="16">
        <f t="shared" si="6"/>
        <v>6.3325840083507945E-3</v>
      </c>
      <c r="F118" s="17">
        <f t="shared" si="7"/>
        <v>1.451810361550665E-2</v>
      </c>
      <c r="G118" s="18">
        <f t="shared" si="8"/>
        <v>8.1855196071558556E-3</v>
      </c>
      <c r="J118" s="28"/>
      <c r="K118" s="8">
        <v>42486</v>
      </c>
      <c r="L118" s="5">
        <v>18670.41</v>
      </c>
      <c r="M118" s="6">
        <v>18519.77</v>
      </c>
      <c r="N118" s="6">
        <v>18763.62</v>
      </c>
      <c r="O118" s="6">
        <v>18481.57</v>
      </c>
      <c r="P118" s="37">
        <v>745810</v>
      </c>
    </row>
    <row r="119" spans="2:16" ht="15" thickBot="1">
      <c r="B119" s="9">
        <f t="shared" si="9"/>
        <v>17</v>
      </c>
      <c r="C119" s="15">
        <f t="shared" si="11"/>
        <v>1</v>
      </c>
      <c r="D119" s="25">
        <f t="shared" si="10"/>
        <v>42485</v>
      </c>
      <c r="E119" s="16">
        <f t="shared" si="6"/>
        <v>-3.301753514736161E-4</v>
      </c>
      <c r="F119" s="17">
        <f t="shared" si="7"/>
        <v>-1.5187531037553326E-2</v>
      </c>
      <c r="G119" s="18">
        <f t="shared" si="8"/>
        <v>-1.485735568607971E-2</v>
      </c>
      <c r="J119" s="28"/>
      <c r="K119" s="8">
        <v>42485</v>
      </c>
      <c r="L119" s="7">
        <v>18403.23</v>
      </c>
      <c r="M119" s="6">
        <v>18680.87</v>
      </c>
      <c r="N119" s="6">
        <v>18744.150000000001</v>
      </c>
      <c r="O119" s="6">
        <v>18332.599999999999</v>
      </c>
      <c r="P119" s="37">
        <v>574530</v>
      </c>
    </row>
    <row r="120" spans="2:16" ht="15" thickBot="1">
      <c r="B120" s="9">
        <f t="shared" si="9"/>
        <v>16</v>
      </c>
      <c r="C120" s="15">
        <f t="shared" si="11"/>
        <v>5</v>
      </c>
      <c r="D120" s="25">
        <f t="shared" si="10"/>
        <v>42482</v>
      </c>
      <c r="E120" s="16">
        <f t="shared" si="6"/>
        <v>3.4751582237957379E-4</v>
      </c>
      <c r="F120" s="17">
        <f t="shared" si="7"/>
        <v>-2.4512944030200545E-3</v>
      </c>
      <c r="G120" s="18">
        <f t="shared" si="8"/>
        <v>-2.7988102253996283E-3</v>
      </c>
      <c r="J120" s="28"/>
      <c r="K120" s="8">
        <v>42482</v>
      </c>
      <c r="L120" s="7">
        <v>18687.04</v>
      </c>
      <c r="M120" s="6">
        <v>18739.47</v>
      </c>
      <c r="N120" s="6">
        <v>18778.97</v>
      </c>
      <c r="O120" s="6">
        <v>18559.57</v>
      </c>
      <c r="P120" s="37">
        <v>606730</v>
      </c>
    </row>
    <row r="121" spans="2:16" ht="15" thickBot="1">
      <c r="B121" s="9">
        <f t="shared" si="9"/>
        <v>15</v>
      </c>
      <c r="C121" s="15">
        <f t="shared" si="11"/>
        <v>4</v>
      </c>
      <c r="D121" s="25">
        <f t="shared" si="10"/>
        <v>42481</v>
      </c>
      <c r="E121" s="16">
        <f t="shared" si="6"/>
        <v>1.516746380710865E-3</v>
      </c>
      <c r="F121" s="17">
        <f t="shared" si="7"/>
        <v>3.9982077738878186E-3</v>
      </c>
      <c r="G121" s="18">
        <f t="shared" si="8"/>
        <v>2.4814613931769536E-3</v>
      </c>
      <c r="J121" s="28"/>
      <c r="K121" s="8">
        <v>42481</v>
      </c>
      <c r="L121" s="5">
        <v>18732.96</v>
      </c>
      <c r="M121" s="6">
        <v>18686.66</v>
      </c>
      <c r="N121" s="6">
        <v>18741.72</v>
      </c>
      <c r="O121" s="6">
        <v>18531.650000000001</v>
      </c>
      <c r="P121" s="37">
        <v>858990</v>
      </c>
    </row>
    <row r="122" spans="2:16" ht="15" thickBot="1">
      <c r="B122" s="9">
        <f t="shared" si="9"/>
        <v>14</v>
      </c>
      <c r="C122" s="15">
        <f t="shared" si="11"/>
        <v>3</v>
      </c>
      <c r="D122" s="25">
        <f t="shared" si="10"/>
        <v>42480</v>
      </c>
      <c r="E122" s="16">
        <f t="shared" si="6"/>
        <v>-4.6064663990311727E-3</v>
      </c>
      <c r="F122" s="17">
        <f t="shared" si="7"/>
        <v>1.1403958590588292E-2</v>
      </c>
      <c r="G122" s="18">
        <f t="shared" si="8"/>
        <v>1.6010424989619465E-2</v>
      </c>
      <c r="J122" s="28"/>
      <c r="K122" s="8">
        <v>42480</v>
      </c>
      <c r="L122" s="5">
        <v>18658.36</v>
      </c>
      <c r="M122" s="6">
        <v>18363</v>
      </c>
      <c r="N122" s="6">
        <v>18677.47</v>
      </c>
      <c r="O122" s="6">
        <v>18265.95</v>
      </c>
      <c r="P122" s="37">
        <v>684250</v>
      </c>
    </row>
    <row r="123" spans="2:16" ht="15" thickBot="1">
      <c r="B123" s="9">
        <f t="shared" si="9"/>
        <v>13</v>
      </c>
      <c r="C123" s="15">
        <f t="shared" si="11"/>
        <v>2</v>
      </c>
      <c r="D123" s="25">
        <f t="shared" si="10"/>
        <v>42479</v>
      </c>
      <c r="E123" s="16">
        <f t="shared" si="6"/>
        <v>3.7498127544837168E-3</v>
      </c>
      <c r="F123" s="17">
        <f t="shared" si="7"/>
        <v>4.8877207794859601E-3</v>
      </c>
      <c r="G123" s="18">
        <f t="shared" si="8"/>
        <v>1.1379080250022433E-3</v>
      </c>
      <c r="J123" s="28"/>
      <c r="K123" s="8">
        <v>42479</v>
      </c>
      <c r="L123" s="5">
        <v>18447.98</v>
      </c>
      <c r="M123" s="6">
        <v>18427.09</v>
      </c>
      <c r="N123" s="6">
        <v>18637.330000000002</v>
      </c>
      <c r="O123" s="6">
        <v>18344.62</v>
      </c>
      <c r="P123" s="37">
        <v>906750</v>
      </c>
    </row>
    <row r="124" spans="2:16" ht="15" thickBot="1">
      <c r="B124" s="9">
        <f t="shared" si="9"/>
        <v>12</v>
      </c>
      <c r="C124" s="15">
        <f t="shared" si="11"/>
        <v>1</v>
      </c>
      <c r="D124" s="25">
        <f t="shared" si="10"/>
        <v>42478</v>
      </c>
      <c r="E124" s="16">
        <f t="shared" si="6"/>
        <v>-1.7433526771409746E-2</v>
      </c>
      <c r="F124" s="17">
        <f t="shared" si="7"/>
        <v>5.5265413655323226E-3</v>
      </c>
      <c r="G124" s="18">
        <f t="shared" si="8"/>
        <v>2.2960068136942069E-2</v>
      </c>
      <c r="J124" s="28"/>
      <c r="K124" s="8">
        <v>42478</v>
      </c>
      <c r="L124" s="5">
        <v>18358.25</v>
      </c>
      <c r="M124" s="6">
        <v>17939.060000000001</v>
      </c>
      <c r="N124" s="6">
        <v>18411.68</v>
      </c>
      <c r="O124" s="6">
        <v>17903.64</v>
      </c>
      <c r="P124" s="37">
        <v>809180</v>
      </c>
    </row>
    <row r="125" spans="2:16" ht="15" thickBot="1">
      <c r="B125" s="9">
        <f t="shared" si="9"/>
        <v>11</v>
      </c>
      <c r="C125" s="15">
        <f t="shared" si="11"/>
        <v>5</v>
      </c>
      <c r="D125" s="25">
        <f t="shared" si="10"/>
        <v>42475</v>
      </c>
      <c r="E125" s="16">
        <f t="shared" si="6"/>
        <v>-2.5489536032613502E-3</v>
      </c>
      <c r="F125" s="17">
        <f t="shared" si="7"/>
        <v>-3.9139968214462195E-3</v>
      </c>
      <c r="G125" s="18">
        <f t="shared" si="8"/>
        <v>-1.3650432181848693E-3</v>
      </c>
      <c r="J125" s="28"/>
      <c r="K125" s="8">
        <v>42475</v>
      </c>
      <c r="L125" s="7">
        <v>18257.349999999999</v>
      </c>
      <c r="M125" s="6">
        <v>18282.37</v>
      </c>
      <c r="N125" s="6">
        <v>18322.12</v>
      </c>
      <c r="O125" s="6">
        <v>18161.169999999998</v>
      </c>
      <c r="P125" s="37">
        <v>683470</v>
      </c>
    </row>
    <row r="126" spans="2:16" ht="15" thickBot="1">
      <c r="B126" s="9">
        <f t="shared" si="9"/>
        <v>10</v>
      </c>
      <c r="C126" s="15">
        <f t="shared" si="11"/>
        <v>4</v>
      </c>
      <c r="D126" s="25">
        <f t="shared" si="10"/>
        <v>42474</v>
      </c>
      <c r="E126" s="16">
        <f t="shared" si="6"/>
        <v>2.2493076195158057E-3</v>
      </c>
      <c r="F126" s="17">
        <f t="shared" si="7"/>
        <v>9.0005334261094028E-3</v>
      </c>
      <c r="G126" s="18">
        <f t="shared" si="8"/>
        <v>6.7512258065935971E-3</v>
      </c>
      <c r="J126" s="28"/>
      <c r="K126" s="8">
        <v>42474</v>
      </c>
      <c r="L126" s="5">
        <v>18329.09</v>
      </c>
      <c r="M126" s="6">
        <v>18206.45</v>
      </c>
      <c r="N126" s="6">
        <v>18329.09</v>
      </c>
      <c r="O126" s="6">
        <v>17985.38</v>
      </c>
      <c r="P126" s="37">
        <v>867420</v>
      </c>
    </row>
    <row r="127" spans="2:16" ht="15" thickBot="1">
      <c r="B127" s="9">
        <f t="shared" si="9"/>
        <v>9</v>
      </c>
      <c r="C127" s="15">
        <f t="shared" si="11"/>
        <v>3</v>
      </c>
      <c r="D127" s="25">
        <f t="shared" si="10"/>
        <v>42473</v>
      </c>
      <c r="E127" s="16">
        <f t="shared" si="6"/>
        <v>1.5420641107952049E-2</v>
      </c>
      <c r="F127" s="17">
        <f t="shared" si="7"/>
        <v>4.1318329817481514E-2</v>
      </c>
      <c r="G127" s="18">
        <f t="shared" si="8"/>
        <v>2.5897688709529465E-2</v>
      </c>
      <c r="J127" s="28"/>
      <c r="K127" s="8">
        <v>42473</v>
      </c>
      <c r="L127" s="5">
        <v>18165.59</v>
      </c>
      <c r="M127" s="6">
        <v>17713.810000000001</v>
      </c>
      <c r="N127" s="6">
        <v>18165.59</v>
      </c>
      <c r="O127" s="6">
        <v>17696.18</v>
      </c>
      <c r="P127" s="37">
        <v>1030000</v>
      </c>
    </row>
    <row r="128" spans="2:16" ht="15" thickBot="1">
      <c r="B128" s="9">
        <f t="shared" si="9"/>
        <v>8</v>
      </c>
      <c r="C128" s="15">
        <f t="shared" si="11"/>
        <v>2</v>
      </c>
      <c r="D128" s="25">
        <f t="shared" si="10"/>
        <v>42472</v>
      </c>
      <c r="E128" s="16">
        <f t="shared" si="6"/>
        <v>1.0833588185972243E-3</v>
      </c>
      <c r="F128" s="17">
        <f t="shared" si="7"/>
        <v>-1.5678233402886543E-2</v>
      </c>
      <c r="G128" s="18">
        <f t="shared" si="8"/>
        <v>-1.6761592221483768E-2</v>
      </c>
      <c r="J128" s="28"/>
      <c r="K128" s="8">
        <v>42472</v>
      </c>
      <c r="L128" s="7">
        <v>17444.8</v>
      </c>
      <c r="M128" s="6">
        <v>17741.86</v>
      </c>
      <c r="N128" s="6">
        <v>17860.93</v>
      </c>
      <c r="O128" s="6">
        <v>17231.73</v>
      </c>
      <c r="P128" s="37">
        <v>1080000</v>
      </c>
    </row>
    <row r="129" spans="2:16" ht="15" thickBot="1">
      <c r="B129" s="9">
        <f t="shared" si="9"/>
        <v>7</v>
      </c>
      <c r="C129" s="15">
        <f t="shared" si="11"/>
        <v>1</v>
      </c>
      <c r="D129" s="25">
        <f t="shared" si="10"/>
        <v>42471</v>
      </c>
      <c r="E129" s="16">
        <f t="shared" si="6"/>
        <v>-2.9540772664587989E-3</v>
      </c>
      <c r="F129" s="17">
        <f t="shared" si="7"/>
        <v>1.245614015042884E-2</v>
      </c>
      <c r="G129" s="18">
        <f t="shared" si="8"/>
        <v>1.5410217416887639E-2</v>
      </c>
      <c r="J129" s="28"/>
      <c r="K129" s="8">
        <v>42471</v>
      </c>
      <c r="L129" s="5">
        <v>17722.66</v>
      </c>
      <c r="M129" s="6">
        <v>17452.91</v>
      </c>
      <c r="N129" s="6">
        <v>17855.759999999998</v>
      </c>
      <c r="O129" s="6">
        <v>17323.54</v>
      </c>
      <c r="P129" s="37">
        <v>863900</v>
      </c>
    </row>
    <row r="130" spans="2:16" ht="15" thickBot="1">
      <c r="B130" s="9">
        <f t="shared" si="9"/>
        <v>6</v>
      </c>
      <c r="C130" s="15">
        <f t="shared" si="11"/>
        <v>5</v>
      </c>
      <c r="D130" s="25">
        <f t="shared" si="10"/>
        <v>42468</v>
      </c>
      <c r="E130" s="16">
        <f t="shared" si="6"/>
        <v>8.4812629137989148E-3</v>
      </c>
      <c r="F130" s="17">
        <f t="shared" si="7"/>
        <v>4.0811023739092844E-2</v>
      </c>
      <c r="G130" s="18">
        <f t="shared" si="8"/>
        <v>3.2329760825293929E-2</v>
      </c>
      <c r="J130" s="28"/>
      <c r="K130" s="8">
        <v>42468</v>
      </c>
      <c r="L130" s="5">
        <v>17504.62</v>
      </c>
      <c r="M130" s="6">
        <v>16960.89</v>
      </c>
      <c r="N130" s="6">
        <v>17509.23</v>
      </c>
      <c r="O130" s="6">
        <v>16956.490000000002</v>
      </c>
      <c r="P130" s="37">
        <v>942320</v>
      </c>
    </row>
    <row r="131" spans="2:16" ht="15" thickBot="1">
      <c r="B131" s="9">
        <f t="shared" si="9"/>
        <v>5</v>
      </c>
      <c r="C131" s="15">
        <f t="shared" si="11"/>
        <v>4</v>
      </c>
      <c r="D131" s="25">
        <f t="shared" si="10"/>
        <v>42467</v>
      </c>
      <c r="E131" s="16">
        <f t="shared" si="6"/>
        <v>1.8978116584333904E-3</v>
      </c>
      <c r="F131" s="17">
        <f t="shared" si="7"/>
        <v>-2.451494729686543E-2</v>
      </c>
      <c r="G131" s="18">
        <f t="shared" si="8"/>
        <v>-2.6412758955298821E-2</v>
      </c>
      <c r="J131" s="28"/>
      <c r="K131" s="8">
        <v>42467</v>
      </c>
      <c r="L131" s="7">
        <v>16818.25</v>
      </c>
      <c r="M131" s="6">
        <v>17273.63</v>
      </c>
      <c r="N131" s="6">
        <v>17322.189999999999</v>
      </c>
      <c r="O131" s="6">
        <v>16777.87</v>
      </c>
      <c r="P131" s="37">
        <v>757290</v>
      </c>
    </row>
    <row r="132" spans="2:16" ht="15" thickBot="1">
      <c r="B132" s="9">
        <f t="shared" si="9"/>
        <v>4</v>
      </c>
      <c r="C132" s="15">
        <f t="shared" si="11"/>
        <v>3</v>
      </c>
      <c r="D132" s="25">
        <f t="shared" si="10"/>
        <v>42466</v>
      </c>
      <c r="E132" s="16">
        <f t="shared" si="6"/>
        <v>6.1393511131373479E-3</v>
      </c>
      <c r="F132" s="17">
        <f t="shared" si="7"/>
        <v>7.692307692307665E-3</v>
      </c>
      <c r="G132" s="18">
        <f t="shared" si="8"/>
        <v>1.552956579170317E-3</v>
      </c>
      <c r="J132" s="28"/>
      <c r="K132" s="8">
        <v>42466</v>
      </c>
      <c r="L132" s="5">
        <v>17240.91</v>
      </c>
      <c r="M132" s="6">
        <v>17214.34</v>
      </c>
      <c r="N132" s="6">
        <v>17391.84</v>
      </c>
      <c r="O132" s="6">
        <v>17035.79</v>
      </c>
      <c r="P132" s="37">
        <v>816140</v>
      </c>
    </row>
    <row r="133" spans="2:16" ht="15" thickBot="1">
      <c r="B133" s="9">
        <f t="shared" si="9"/>
        <v>3</v>
      </c>
      <c r="C133" s="15">
        <f t="shared" si="11"/>
        <v>2</v>
      </c>
      <c r="D133" s="25">
        <f t="shared" si="10"/>
        <v>42465</v>
      </c>
      <c r="E133" s="16">
        <f t="shared" si="6"/>
        <v>-1.4134379786907125E-2</v>
      </c>
      <c r="F133" s="17">
        <f t="shared" si="7"/>
        <v>-3.0044344263874923E-2</v>
      </c>
      <c r="G133" s="18">
        <f t="shared" si="8"/>
        <v>-1.5909964476967797E-2</v>
      </c>
      <c r="J133" s="28"/>
      <c r="K133" s="8">
        <v>42465</v>
      </c>
      <c r="L133" s="7">
        <v>17109.3</v>
      </c>
      <c r="M133" s="6">
        <v>17389.939999999999</v>
      </c>
      <c r="N133" s="6">
        <v>17460.36</v>
      </c>
      <c r="O133" s="6">
        <v>17104.12</v>
      </c>
      <c r="P133" s="37">
        <v>838100</v>
      </c>
    </row>
    <row r="134" spans="2:16" ht="15" thickBot="1">
      <c r="B134" s="9">
        <f t="shared" ref="B134:B196" si="12">B135+1</f>
        <v>2</v>
      </c>
      <c r="C134" s="15">
        <f t="shared" si="11"/>
        <v>1</v>
      </c>
      <c r="D134" s="25">
        <f t="shared" si="10"/>
        <v>42464</v>
      </c>
      <c r="E134" s="16">
        <f t="shared" ref="E134:E197" si="13">M134/L135-1</f>
        <v>-4.3213529513681515E-3</v>
      </c>
      <c r="F134" s="17">
        <f t="shared" ref="F134:F197" si="14">L134/L135-1</f>
        <v>-7.7392832471914197E-3</v>
      </c>
      <c r="G134" s="18">
        <f t="shared" ref="G134:G197" si="15">F134-E134</f>
        <v>-3.4179302958232682E-3</v>
      </c>
      <c r="J134" s="28"/>
      <c r="K134" s="8">
        <v>42464</v>
      </c>
      <c r="L134" s="7">
        <v>17639.259999999998</v>
      </c>
      <c r="M134" s="6">
        <v>17700.02</v>
      </c>
      <c r="N134" s="6">
        <v>17934.099999999999</v>
      </c>
      <c r="O134" s="6">
        <v>17574.87</v>
      </c>
      <c r="P134" s="37">
        <v>747790</v>
      </c>
    </row>
    <row r="135" spans="2:16" ht="15" thickBot="1">
      <c r="B135" s="19">
        <v>1</v>
      </c>
      <c r="C135" s="15">
        <f t="shared" si="11"/>
        <v>5</v>
      </c>
      <c r="D135" s="25">
        <f t="shared" ref="D135:D198" si="16">K135</f>
        <v>42461</v>
      </c>
      <c r="E135" s="16">
        <f t="shared" si="13"/>
        <v>-1.4471586719126073E-2</v>
      </c>
      <c r="F135" s="17">
        <f t="shared" si="14"/>
        <v>-1.8769236204026374E-2</v>
      </c>
      <c r="G135" s="18">
        <f t="shared" si="15"/>
        <v>-4.2976494849003011E-3</v>
      </c>
      <c r="J135" s="28"/>
      <c r="K135" s="8">
        <v>42461</v>
      </c>
      <c r="L135" s="7">
        <v>17776.84</v>
      </c>
      <c r="M135" s="6">
        <v>17854.7</v>
      </c>
      <c r="N135" s="6">
        <v>18084.41</v>
      </c>
      <c r="O135" s="6">
        <v>17737.84</v>
      </c>
      <c r="P135" s="37">
        <v>791130</v>
      </c>
    </row>
    <row r="136" spans="2:16" ht="15" thickBot="1">
      <c r="B136" s="9">
        <f t="shared" si="12"/>
        <v>21</v>
      </c>
      <c r="C136" s="15">
        <f t="shared" ref="C136:C199" si="17">WEEKDAY(D136,2)</f>
        <v>4</v>
      </c>
      <c r="D136" s="25">
        <f t="shared" si="16"/>
        <v>42460</v>
      </c>
      <c r="E136" s="16">
        <f t="shared" si="13"/>
        <v>-7.6172823112741206E-3</v>
      </c>
      <c r="F136" s="17">
        <f t="shared" si="14"/>
        <v>-1.406451697167721E-2</v>
      </c>
      <c r="G136" s="18">
        <f t="shared" si="15"/>
        <v>-6.4472346604030895E-3</v>
      </c>
      <c r="J136" s="28"/>
      <c r="K136" s="8">
        <v>42460</v>
      </c>
      <c r="L136" s="7">
        <v>18116.88</v>
      </c>
      <c r="M136" s="6">
        <v>18235.349999999999</v>
      </c>
      <c r="N136" s="6">
        <v>18300.29</v>
      </c>
      <c r="O136" s="6">
        <v>17971.669999999998</v>
      </c>
      <c r="P136" s="37">
        <v>948180</v>
      </c>
    </row>
    <row r="137" spans="2:16" ht="15" thickBot="1">
      <c r="B137" s="9">
        <f t="shared" si="12"/>
        <v>20</v>
      </c>
      <c r="C137" s="15">
        <f t="shared" si="17"/>
        <v>3</v>
      </c>
      <c r="D137" s="25">
        <f t="shared" si="16"/>
        <v>42459</v>
      </c>
      <c r="E137" s="16">
        <f t="shared" si="13"/>
        <v>4.6594019544503595E-3</v>
      </c>
      <c r="F137" s="17">
        <f t="shared" si="14"/>
        <v>1.1196432285963009E-2</v>
      </c>
      <c r="G137" s="18">
        <f t="shared" si="15"/>
        <v>6.5370303315126499E-3</v>
      </c>
      <c r="J137" s="28"/>
      <c r="K137" s="8">
        <v>42459</v>
      </c>
      <c r="L137" s="5">
        <v>18375.32</v>
      </c>
      <c r="M137" s="6">
        <v>18256.53</v>
      </c>
      <c r="N137" s="6">
        <v>18496.63</v>
      </c>
      <c r="O137" s="6">
        <v>18256.09</v>
      </c>
      <c r="P137" s="37">
        <v>740530</v>
      </c>
    </row>
    <row r="138" spans="2:16" ht="15" thickBot="1">
      <c r="B138" s="9">
        <f t="shared" si="12"/>
        <v>19</v>
      </c>
      <c r="C138" s="15">
        <f t="shared" si="17"/>
        <v>2</v>
      </c>
      <c r="D138" s="25">
        <f t="shared" si="16"/>
        <v>42458</v>
      </c>
      <c r="E138" s="16">
        <f t="shared" si="13"/>
        <v>4.7165448996577819E-3</v>
      </c>
      <c r="F138" s="17">
        <f t="shared" si="14"/>
        <v>3.3139122661007825E-4</v>
      </c>
      <c r="G138" s="18">
        <f t="shared" si="15"/>
        <v>-4.3851536730477036E-3</v>
      </c>
      <c r="J138" s="28"/>
      <c r="K138" s="8">
        <v>42458</v>
      </c>
      <c r="L138" s="5">
        <v>18171.86</v>
      </c>
      <c r="M138" s="6">
        <v>18251.52</v>
      </c>
      <c r="N138" s="6">
        <v>18468.02</v>
      </c>
      <c r="O138" s="6">
        <v>18031.48</v>
      </c>
      <c r="P138" s="37">
        <v>679640</v>
      </c>
    </row>
    <row r="139" spans="2:16" ht="15" thickBot="1">
      <c r="B139" s="9">
        <f t="shared" si="12"/>
        <v>18</v>
      </c>
      <c r="C139" s="15">
        <f t="shared" si="17"/>
        <v>4</v>
      </c>
      <c r="D139" s="25">
        <f t="shared" si="16"/>
        <v>42453</v>
      </c>
      <c r="E139" s="16">
        <f t="shared" si="13"/>
        <v>-3.4371668992054794E-3</v>
      </c>
      <c r="F139" s="17">
        <f t="shared" si="14"/>
        <v>-1.6088497569176741E-2</v>
      </c>
      <c r="G139" s="18">
        <f t="shared" si="15"/>
        <v>-1.2651330669971261E-2</v>
      </c>
      <c r="J139" s="28"/>
      <c r="K139" s="8">
        <v>42453</v>
      </c>
      <c r="L139" s="7">
        <v>18165.84</v>
      </c>
      <c r="M139" s="6">
        <v>18399.419999999998</v>
      </c>
      <c r="N139" s="6">
        <v>18468.78</v>
      </c>
      <c r="O139" s="6">
        <v>18140.18</v>
      </c>
      <c r="P139" s="37">
        <v>763890</v>
      </c>
    </row>
    <row r="140" spans="2:16" ht="15" thickBot="1">
      <c r="B140" s="9">
        <f t="shared" si="12"/>
        <v>17</v>
      </c>
      <c r="C140" s="15">
        <f t="shared" si="17"/>
        <v>3</v>
      </c>
      <c r="D140" s="25">
        <f t="shared" si="16"/>
        <v>42452</v>
      </c>
      <c r="E140" s="16">
        <f t="shared" si="13"/>
        <v>3.1911104550983449E-3</v>
      </c>
      <c r="F140" s="17">
        <f t="shared" si="14"/>
        <v>-1.2617908509734765E-2</v>
      </c>
      <c r="G140" s="18">
        <f t="shared" si="15"/>
        <v>-1.580901896483311E-2</v>
      </c>
      <c r="J140" s="28"/>
      <c r="K140" s="8">
        <v>42452</v>
      </c>
      <c r="L140" s="7">
        <v>18462.88</v>
      </c>
      <c r="M140" s="6">
        <v>18758.490000000002</v>
      </c>
      <c r="N140" s="6">
        <v>18828.240000000002</v>
      </c>
      <c r="O140" s="6">
        <v>18401.93</v>
      </c>
      <c r="P140" s="37">
        <v>545960</v>
      </c>
    </row>
    <row r="141" spans="2:16" ht="15" thickBot="1">
      <c r="B141" s="9">
        <f t="shared" si="12"/>
        <v>16</v>
      </c>
      <c r="C141" s="15">
        <f t="shared" si="17"/>
        <v>2</v>
      </c>
      <c r="D141" s="25">
        <f t="shared" si="16"/>
        <v>42451</v>
      </c>
      <c r="E141" s="16">
        <f t="shared" si="13"/>
        <v>-7.5894812677803625E-3</v>
      </c>
      <c r="F141" s="17">
        <f t="shared" si="14"/>
        <v>1.0108611413750523E-4</v>
      </c>
      <c r="G141" s="18">
        <f t="shared" si="15"/>
        <v>7.6905673819178677E-3</v>
      </c>
      <c r="J141" s="28"/>
      <c r="K141" s="8">
        <v>42451</v>
      </c>
      <c r="L141" s="5">
        <v>18698.82</v>
      </c>
      <c r="M141" s="6">
        <v>18555.03</v>
      </c>
      <c r="N141" s="6">
        <v>18698.82</v>
      </c>
      <c r="O141" s="6">
        <v>18286.080000000002</v>
      </c>
      <c r="P141" s="37">
        <v>645130</v>
      </c>
    </row>
    <row r="142" spans="2:16" ht="15" thickBot="1">
      <c r="B142" s="9">
        <f t="shared" si="12"/>
        <v>15</v>
      </c>
      <c r="C142" s="15">
        <f t="shared" si="17"/>
        <v>1</v>
      </c>
      <c r="D142" s="25">
        <f t="shared" si="16"/>
        <v>42450</v>
      </c>
      <c r="E142" s="16">
        <f t="shared" si="13"/>
        <v>-2.9551875362010538E-3</v>
      </c>
      <c r="F142" s="17">
        <f t="shared" si="14"/>
        <v>4.5988091131536901E-3</v>
      </c>
      <c r="G142" s="18">
        <f t="shared" si="15"/>
        <v>7.5539966493547439E-3</v>
      </c>
      <c r="J142" s="28"/>
      <c r="K142" s="8">
        <v>42450</v>
      </c>
      <c r="L142" s="5">
        <v>18696.93</v>
      </c>
      <c r="M142" s="6">
        <v>18556.34</v>
      </c>
      <c r="N142" s="6">
        <v>18879.95</v>
      </c>
      <c r="O142" s="6">
        <v>18481.59</v>
      </c>
      <c r="P142" s="37">
        <v>717920</v>
      </c>
    </row>
    <row r="143" spans="2:16" ht="15" thickBot="1">
      <c r="B143" s="9">
        <f t="shared" si="12"/>
        <v>14</v>
      </c>
      <c r="C143" s="15">
        <f t="shared" si="17"/>
        <v>5</v>
      </c>
      <c r="D143" s="25">
        <f t="shared" si="16"/>
        <v>42447</v>
      </c>
      <c r="E143" s="16">
        <f t="shared" si="13"/>
        <v>5.1773347312962237E-3</v>
      </c>
      <c r="F143" s="17">
        <f t="shared" si="14"/>
        <v>1.7788019473319316E-4</v>
      </c>
      <c r="G143" s="18">
        <f t="shared" si="15"/>
        <v>-4.9994545365630305E-3</v>
      </c>
      <c r="J143" s="28"/>
      <c r="K143" s="8">
        <v>42447</v>
      </c>
      <c r="L143" s="5">
        <v>18611.34</v>
      </c>
      <c r="M143" s="6">
        <v>18704.37</v>
      </c>
      <c r="N143" s="6">
        <v>18769.7</v>
      </c>
      <c r="O143" s="6">
        <v>18468.169999999998</v>
      </c>
      <c r="P143" s="37">
        <v>1060000</v>
      </c>
    </row>
    <row r="144" spans="2:16" ht="15" thickBot="1">
      <c r="B144" s="9">
        <f t="shared" si="12"/>
        <v>13</v>
      </c>
      <c r="C144" s="15">
        <f t="shared" si="17"/>
        <v>4</v>
      </c>
      <c r="D144" s="25">
        <f t="shared" si="16"/>
        <v>42446</v>
      </c>
      <c r="E144" s="16">
        <f t="shared" si="13"/>
        <v>1.0126122759485989E-2</v>
      </c>
      <c r="F144" s="17">
        <f t="shared" si="14"/>
        <v>-6.6048286999346173E-3</v>
      </c>
      <c r="G144" s="18">
        <f t="shared" si="15"/>
        <v>-1.6730951459420607E-2</v>
      </c>
      <c r="J144" s="28"/>
      <c r="K144" s="8">
        <v>42446</v>
      </c>
      <c r="L144" s="7">
        <v>18608.03</v>
      </c>
      <c r="M144" s="6">
        <v>18921.43</v>
      </c>
      <c r="N144" s="6">
        <v>18926.79</v>
      </c>
      <c r="O144" s="6">
        <v>18344.169999999998</v>
      </c>
      <c r="P144" s="37">
        <v>1030000</v>
      </c>
    </row>
    <row r="145" spans="2:16" ht="15" thickBot="1">
      <c r="B145" s="9">
        <f t="shared" si="12"/>
        <v>12</v>
      </c>
      <c r="C145" s="15">
        <f t="shared" si="17"/>
        <v>3</v>
      </c>
      <c r="D145" s="25">
        <f t="shared" si="16"/>
        <v>42445</v>
      </c>
      <c r="E145" s="16">
        <f t="shared" si="13"/>
        <v>2.9533124047116388E-3</v>
      </c>
      <c r="F145" s="17">
        <f t="shared" si="14"/>
        <v>-1.7915980340381665E-3</v>
      </c>
      <c r="G145" s="18">
        <f t="shared" si="15"/>
        <v>-4.7449104387498053E-3</v>
      </c>
      <c r="J145" s="28"/>
      <c r="K145" s="8">
        <v>42445</v>
      </c>
      <c r="L145" s="7">
        <v>18731.75</v>
      </c>
      <c r="M145" s="6">
        <v>18820.79</v>
      </c>
      <c r="N145" s="6">
        <v>18943.18</v>
      </c>
      <c r="O145" s="6">
        <v>18609.66</v>
      </c>
      <c r="P145" s="37">
        <v>687890</v>
      </c>
    </row>
    <row r="146" spans="2:16" ht="15" thickBot="1">
      <c r="B146" s="9">
        <f t="shared" si="12"/>
        <v>11</v>
      </c>
      <c r="C146" s="15">
        <f t="shared" si="17"/>
        <v>2</v>
      </c>
      <c r="D146" s="25">
        <f t="shared" si="16"/>
        <v>42444</v>
      </c>
      <c r="E146" s="16">
        <f t="shared" si="13"/>
        <v>-4.7440254517887581E-3</v>
      </c>
      <c r="F146" s="17">
        <f t="shared" si="14"/>
        <v>-1.1400412079590083E-2</v>
      </c>
      <c r="G146" s="18">
        <f t="shared" si="15"/>
        <v>-6.6563866278013251E-3</v>
      </c>
      <c r="J146" s="28"/>
      <c r="K146" s="8">
        <v>42444</v>
      </c>
      <c r="L146" s="7">
        <v>18765.37</v>
      </c>
      <c r="M146" s="6">
        <v>18891.72</v>
      </c>
      <c r="N146" s="6">
        <v>18960.14</v>
      </c>
      <c r="O146" s="6">
        <v>18678.52</v>
      </c>
      <c r="P146" s="37">
        <v>787640</v>
      </c>
    </row>
    <row r="147" spans="2:16" ht="15" thickBot="1">
      <c r="B147" s="9">
        <f t="shared" si="12"/>
        <v>10</v>
      </c>
      <c r="C147" s="15">
        <f t="shared" si="17"/>
        <v>1</v>
      </c>
      <c r="D147" s="25">
        <f t="shared" si="16"/>
        <v>42443</v>
      </c>
      <c r="E147" s="16">
        <f t="shared" si="13"/>
        <v>7.2341377993707656E-3</v>
      </c>
      <c r="F147" s="17">
        <f t="shared" si="14"/>
        <v>-3.149398954589433E-4</v>
      </c>
      <c r="G147" s="18">
        <f t="shared" si="15"/>
        <v>-7.5490776948297089E-3</v>
      </c>
      <c r="J147" s="28"/>
      <c r="K147" s="8">
        <v>42443</v>
      </c>
      <c r="L147" s="7">
        <v>18981.77</v>
      </c>
      <c r="M147" s="6">
        <v>19125.11</v>
      </c>
      <c r="N147" s="6">
        <v>19216.53</v>
      </c>
      <c r="O147" s="6">
        <v>18846.96</v>
      </c>
      <c r="P147" s="37">
        <v>944910</v>
      </c>
    </row>
    <row r="148" spans="2:16" ht="15" thickBot="1">
      <c r="B148" s="9">
        <f t="shared" si="12"/>
        <v>9</v>
      </c>
      <c r="C148" s="15">
        <f t="shared" si="17"/>
        <v>5</v>
      </c>
      <c r="D148" s="25">
        <f t="shared" si="16"/>
        <v>42440</v>
      </c>
      <c r="E148" s="16">
        <f t="shared" si="13"/>
        <v>2.0453984743542764E-2</v>
      </c>
      <c r="F148" s="17">
        <f t="shared" si="14"/>
        <v>4.7991442872731049E-2</v>
      </c>
      <c r="G148" s="18">
        <f t="shared" si="15"/>
        <v>2.7537458129188286E-2</v>
      </c>
      <c r="J148" s="28"/>
      <c r="K148" s="8">
        <v>42440</v>
      </c>
      <c r="L148" s="5">
        <v>18987.75</v>
      </c>
      <c r="M148" s="6">
        <v>18488.82</v>
      </c>
      <c r="N148" s="6">
        <v>18993.71</v>
      </c>
      <c r="O148" s="6">
        <v>18470.919999999998</v>
      </c>
      <c r="P148" s="37">
        <v>1180000</v>
      </c>
    </row>
    <row r="149" spans="2:16" ht="15" thickBot="1">
      <c r="B149" s="9">
        <f t="shared" si="12"/>
        <v>8</v>
      </c>
      <c r="C149" s="15">
        <f t="shared" si="17"/>
        <v>4</v>
      </c>
      <c r="D149" s="25">
        <f t="shared" si="16"/>
        <v>42439</v>
      </c>
      <c r="E149" s="16">
        <f t="shared" si="13"/>
        <v>1.1159365849267022E-3</v>
      </c>
      <c r="F149" s="17">
        <f t="shared" si="14"/>
        <v>-4.9805260279027763E-3</v>
      </c>
      <c r="G149" s="18">
        <f t="shared" si="15"/>
        <v>-6.0964626128294785E-3</v>
      </c>
      <c r="J149" s="28"/>
      <c r="K149" s="8">
        <v>42439</v>
      </c>
      <c r="L149" s="7">
        <v>18118.23</v>
      </c>
      <c r="M149" s="6">
        <v>18229.240000000002</v>
      </c>
      <c r="N149" s="6">
        <v>19012.189999999999</v>
      </c>
      <c r="O149" s="6">
        <v>18113.72</v>
      </c>
      <c r="P149" s="37">
        <v>1400000</v>
      </c>
    </row>
    <row r="150" spans="2:16" ht="15" thickBot="1">
      <c r="B150" s="9">
        <f t="shared" si="12"/>
        <v>7</v>
      </c>
      <c r="C150" s="15">
        <f t="shared" si="17"/>
        <v>3</v>
      </c>
      <c r="D150" s="25">
        <f t="shared" si="16"/>
        <v>42438</v>
      </c>
      <c r="E150" s="16">
        <f t="shared" si="13"/>
        <v>-1.9530946476660205E-3</v>
      </c>
      <c r="F150" s="17">
        <f t="shared" si="14"/>
        <v>1.0620749979464383E-2</v>
      </c>
      <c r="G150" s="18">
        <f t="shared" si="15"/>
        <v>1.2573844627130404E-2</v>
      </c>
      <c r="J150" s="28"/>
      <c r="K150" s="8">
        <v>42438</v>
      </c>
      <c r="L150" s="5">
        <v>18208.919999999998</v>
      </c>
      <c r="M150" s="6">
        <v>17982.37</v>
      </c>
      <c r="N150" s="6">
        <v>18369.22</v>
      </c>
      <c r="O150" s="6">
        <v>17982.37</v>
      </c>
      <c r="P150" s="37">
        <v>878690</v>
      </c>
    </row>
    <row r="151" spans="2:16" ht="15" thickBot="1">
      <c r="B151" s="9">
        <f t="shared" si="12"/>
        <v>6</v>
      </c>
      <c r="C151" s="15">
        <f t="shared" si="17"/>
        <v>2</v>
      </c>
      <c r="D151" s="25">
        <f t="shared" si="16"/>
        <v>42437</v>
      </c>
      <c r="E151" s="16">
        <f t="shared" si="13"/>
        <v>-8.4859465526568867E-3</v>
      </c>
      <c r="F151" s="17">
        <f t="shared" si="14"/>
        <v>-2.3096171661423082E-3</v>
      </c>
      <c r="G151" s="18">
        <f t="shared" si="15"/>
        <v>6.1763293865145785E-3</v>
      </c>
      <c r="J151" s="28"/>
      <c r="K151" s="8">
        <v>42437</v>
      </c>
      <c r="L151" s="7">
        <v>18017.560000000001</v>
      </c>
      <c r="M151" s="6">
        <v>17906.02</v>
      </c>
      <c r="N151" s="6">
        <v>18216.75</v>
      </c>
      <c r="O151" s="6">
        <v>17729.09</v>
      </c>
      <c r="P151" s="37">
        <v>1110000</v>
      </c>
    </row>
    <row r="152" spans="2:16" ht="15" thickBot="1">
      <c r="B152" s="9">
        <f t="shared" si="12"/>
        <v>5</v>
      </c>
      <c r="C152" s="15">
        <f t="shared" si="17"/>
        <v>1</v>
      </c>
      <c r="D152" s="25">
        <f t="shared" si="16"/>
        <v>42436</v>
      </c>
      <c r="E152" s="16">
        <f t="shared" si="13"/>
        <v>-4.5615236736404885E-3</v>
      </c>
      <c r="F152" s="17">
        <f t="shared" si="14"/>
        <v>-1.2019817298339341E-2</v>
      </c>
      <c r="G152" s="18">
        <f t="shared" si="15"/>
        <v>-7.4582936246988529E-3</v>
      </c>
      <c r="J152" s="28"/>
      <c r="K152" s="8">
        <v>42436</v>
      </c>
      <c r="L152" s="7">
        <v>18059.27</v>
      </c>
      <c r="M152" s="6">
        <v>18195.599999999999</v>
      </c>
      <c r="N152" s="6">
        <v>18252.759999999998</v>
      </c>
      <c r="O152" s="6">
        <v>17847.14</v>
      </c>
      <c r="P152" s="37">
        <v>779390</v>
      </c>
    </row>
    <row r="153" spans="2:16" ht="15" thickBot="1">
      <c r="B153" s="9">
        <f t="shared" si="12"/>
        <v>4</v>
      </c>
      <c r="C153" s="15">
        <f t="shared" si="17"/>
        <v>5</v>
      </c>
      <c r="D153" s="25">
        <f t="shared" si="16"/>
        <v>42433</v>
      </c>
      <c r="E153" s="16">
        <f t="shared" si="13"/>
        <v>3.643894596288666E-3</v>
      </c>
      <c r="F153" s="17">
        <f t="shared" si="14"/>
        <v>-3.7888655748427036E-3</v>
      </c>
      <c r="G153" s="18">
        <f t="shared" si="15"/>
        <v>-7.4327601711313696E-3</v>
      </c>
      <c r="J153" s="28"/>
      <c r="K153" s="8">
        <v>42433</v>
      </c>
      <c r="L153" s="7">
        <v>18278.98</v>
      </c>
      <c r="M153" s="6">
        <v>18415.36</v>
      </c>
      <c r="N153" s="6">
        <v>18449.240000000002</v>
      </c>
      <c r="O153" s="6">
        <v>18061.27</v>
      </c>
      <c r="P153" s="37">
        <v>910790</v>
      </c>
    </row>
    <row r="154" spans="2:16" ht="15" thickBot="1">
      <c r="B154" s="9">
        <f t="shared" si="12"/>
        <v>3</v>
      </c>
      <c r="C154" s="15">
        <f t="shared" si="17"/>
        <v>4</v>
      </c>
      <c r="D154" s="25">
        <f t="shared" si="16"/>
        <v>42432</v>
      </c>
      <c r="E154" s="16">
        <f t="shared" si="13"/>
        <v>6.3549046736843806E-4</v>
      </c>
      <c r="F154" s="17">
        <f t="shared" si="14"/>
        <v>7.8043941666698924E-3</v>
      </c>
      <c r="G154" s="18">
        <f t="shared" si="15"/>
        <v>7.1689036993014543E-3</v>
      </c>
      <c r="J154" s="28"/>
      <c r="K154" s="8">
        <v>42432</v>
      </c>
      <c r="L154" s="5">
        <v>18348.5</v>
      </c>
      <c r="M154" s="6">
        <v>18217.98</v>
      </c>
      <c r="N154" s="6">
        <v>18352.63</v>
      </c>
      <c r="O154" s="6">
        <v>18129.14</v>
      </c>
      <c r="P154" s="37">
        <v>853620</v>
      </c>
    </row>
    <row r="155" spans="2:16" ht="15" thickBot="1">
      <c r="B155" s="9">
        <f t="shared" si="12"/>
        <v>2</v>
      </c>
      <c r="C155" s="15">
        <f t="shared" si="17"/>
        <v>3</v>
      </c>
      <c r="D155" s="25">
        <f t="shared" si="16"/>
        <v>42431</v>
      </c>
      <c r="E155" s="16">
        <f t="shared" si="13"/>
        <v>7.2901763333261815E-3</v>
      </c>
      <c r="F155" s="17">
        <f t="shared" si="14"/>
        <v>1.0798410607203879E-2</v>
      </c>
      <c r="G155" s="18">
        <f t="shared" si="15"/>
        <v>3.5082342738776973E-3</v>
      </c>
      <c r="J155" s="28"/>
      <c r="K155" s="8">
        <v>42431</v>
      </c>
      <c r="L155" s="5">
        <v>18206.41</v>
      </c>
      <c r="M155" s="6">
        <v>18143.22</v>
      </c>
      <c r="N155" s="6">
        <v>18223.46</v>
      </c>
      <c r="O155" s="6">
        <v>18012.330000000002</v>
      </c>
      <c r="P155" s="37">
        <v>969810</v>
      </c>
    </row>
    <row r="156" spans="2:16" ht="15" thickBot="1">
      <c r="B156" s="19">
        <v>1</v>
      </c>
      <c r="C156" s="15">
        <f t="shared" si="17"/>
        <v>2</v>
      </c>
      <c r="D156" s="25">
        <f t="shared" si="16"/>
        <v>42430</v>
      </c>
      <c r="E156" s="16">
        <f t="shared" si="13"/>
        <v>-3.7360119434355354E-3</v>
      </c>
      <c r="F156" s="17">
        <f t="shared" si="14"/>
        <v>2.206426008635276E-2</v>
      </c>
      <c r="G156" s="18">
        <f t="shared" si="15"/>
        <v>2.5800272029788296E-2</v>
      </c>
      <c r="J156" s="28"/>
      <c r="K156" s="8">
        <v>42430</v>
      </c>
      <c r="L156" s="5">
        <v>18011.91</v>
      </c>
      <c r="M156" s="6">
        <v>17557.23</v>
      </c>
      <c r="N156" s="6">
        <v>18011.91</v>
      </c>
      <c r="O156" s="6">
        <v>17533.75</v>
      </c>
      <c r="P156" s="37">
        <v>835360</v>
      </c>
    </row>
    <row r="157" spans="2:16" ht="15" thickBot="1">
      <c r="B157" s="9">
        <f t="shared" si="12"/>
        <v>21</v>
      </c>
      <c r="C157" s="15">
        <f t="shared" si="17"/>
        <v>1</v>
      </c>
      <c r="D157" s="25">
        <f t="shared" si="16"/>
        <v>42429</v>
      </c>
      <c r="E157" s="16">
        <f t="shared" si="13"/>
        <v>-8.1229666845116233E-3</v>
      </c>
      <c r="F157" s="17">
        <f t="shared" si="14"/>
        <v>7.9679657007418747E-3</v>
      </c>
      <c r="G157" s="18">
        <f t="shared" si="15"/>
        <v>1.6090932385253498E-2</v>
      </c>
      <c r="J157" s="28"/>
      <c r="K157" s="8">
        <v>42429</v>
      </c>
      <c r="L157" s="5">
        <v>17623.07</v>
      </c>
      <c r="M157" s="6">
        <v>17341.740000000002</v>
      </c>
      <c r="N157" s="6">
        <v>17642.88</v>
      </c>
      <c r="O157" s="6">
        <v>17220.78</v>
      </c>
      <c r="P157" s="37">
        <v>1060000</v>
      </c>
    </row>
    <row r="158" spans="2:16" ht="15" thickBot="1">
      <c r="B158" s="9">
        <f t="shared" si="12"/>
        <v>20</v>
      </c>
      <c r="C158" s="15">
        <f t="shared" si="17"/>
        <v>5</v>
      </c>
      <c r="D158" s="25">
        <f t="shared" si="16"/>
        <v>42426</v>
      </c>
      <c r="E158" s="16">
        <f t="shared" si="13"/>
        <v>1.137066533212816E-2</v>
      </c>
      <c r="F158" s="17">
        <f t="shared" si="14"/>
        <v>2.2170721925289794E-2</v>
      </c>
      <c r="G158" s="18">
        <f t="shared" si="15"/>
        <v>1.0800056593161633E-2</v>
      </c>
      <c r="J158" s="28"/>
      <c r="K158" s="8">
        <v>42426</v>
      </c>
      <c r="L158" s="5">
        <v>17483.759999999998</v>
      </c>
      <c r="M158" s="6">
        <v>17299.03</v>
      </c>
      <c r="N158" s="6">
        <v>17549.759999999998</v>
      </c>
      <c r="O158" s="6">
        <v>17253.34</v>
      </c>
      <c r="P158" s="37">
        <v>838040</v>
      </c>
    </row>
    <row r="159" spans="2:16" ht="15" thickBot="1">
      <c r="B159" s="9">
        <f t="shared" si="12"/>
        <v>19</v>
      </c>
      <c r="C159" s="15">
        <f t="shared" si="17"/>
        <v>4</v>
      </c>
      <c r="D159" s="25">
        <f t="shared" si="16"/>
        <v>42425</v>
      </c>
      <c r="E159" s="16">
        <f t="shared" si="13"/>
        <v>1.316796815189103E-2</v>
      </c>
      <c r="F159" s="17">
        <f t="shared" si="14"/>
        <v>2.3037963175623899E-2</v>
      </c>
      <c r="G159" s="18">
        <f t="shared" si="15"/>
        <v>9.8699950237328693E-3</v>
      </c>
      <c r="J159" s="28"/>
      <c r="K159" s="8">
        <v>42425</v>
      </c>
      <c r="L159" s="5">
        <v>17104.54</v>
      </c>
      <c r="M159" s="6">
        <v>16939.52</v>
      </c>
      <c r="N159" s="6">
        <v>17197.86</v>
      </c>
      <c r="O159" s="6">
        <v>16877.32</v>
      </c>
      <c r="P159" s="37">
        <v>712650</v>
      </c>
    </row>
    <row r="160" spans="2:16" ht="15" thickBot="1">
      <c r="B160" s="9">
        <f t="shared" si="12"/>
        <v>18</v>
      </c>
      <c r="C160" s="15">
        <f t="shared" si="17"/>
        <v>3</v>
      </c>
      <c r="D160" s="25">
        <f t="shared" si="16"/>
        <v>42424</v>
      </c>
      <c r="E160" s="16">
        <f t="shared" si="13"/>
        <v>-3.3384876942055275E-4</v>
      </c>
      <c r="F160" s="17">
        <f t="shared" si="14"/>
        <v>-2.5874736212861404E-2</v>
      </c>
      <c r="G160" s="18">
        <f t="shared" si="15"/>
        <v>-2.5540887443440852E-2</v>
      </c>
      <c r="J160" s="28"/>
      <c r="K160" s="8">
        <v>42424</v>
      </c>
      <c r="L160" s="7">
        <v>16719.36</v>
      </c>
      <c r="M160" s="6">
        <v>17157.73</v>
      </c>
      <c r="N160" s="6">
        <v>17230.71</v>
      </c>
      <c r="O160" s="6">
        <v>16587.669999999998</v>
      </c>
      <c r="P160" s="37">
        <v>841870</v>
      </c>
    </row>
    <row r="161" spans="2:16" ht="15" thickBot="1">
      <c r="B161" s="9">
        <f t="shared" si="12"/>
        <v>17</v>
      </c>
      <c r="C161" s="15">
        <f t="shared" si="17"/>
        <v>2</v>
      </c>
      <c r="D161" s="25">
        <f t="shared" si="16"/>
        <v>42423</v>
      </c>
      <c r="E161" s="16">
        <f t="shared" si="13"/>
        <v>-9.3889713434999189E-3</v>
      </c>
      <c r="F161" s="17">
        <f t="shared" si="14"/>
        <v>-1.9487471278945456E-2</v>
      </c>
      <c r="G161" s="18">
        <f t="shared" si="15"/>
        <v>-1.0098499935445537E-2</v>
      </c>
      <c r="J161" s="28"/>
      <c r="K161" s="8">
        <v>42423</v>
      </c>
      <c r="L161" s="7">
        <v>17163.46</v>
      </c>
      <c r="M161" s="6">
        <v>17340.23</v>
      </c>
      <c r="N161" s="6">
        <v>17631.37</v>
      </c>
      <c r="O161" s="6">
        <v>17163.46</v>
      </c>
      <c r="P161" s="37">
        <v>796240</v>
      </c>
    </row>
    <row r="162" spans="2:16" ht="15" thickBot="1">
      <c r="B162" s="9">
        <f t="shared" si="12"/>
        <v>16</v>
      </c>
      <c r="C162" s="15">
        <f t="shared" si="17"/>
        <v>1</v>
      </c>
      <c r="D162" s="25">
        <f t="shared" si="16"/>
        <v>42422</v>
      </c>
      <c r="E162" s="16">
        <f t="shared" si="13"/>
        <v>1.2897437899034747E-2</v>
      </c>
      <c r="F162" s="17">
        <f t="shared" si="14"/>
        <v>3.518837864497959E-2</v>
      </c>
      <c r="G162" s="18">
        <f t="shared" si="15"/>
        <v>2.2290940745944843E-2</v>
      </c>
      <c r="J162" s="28"/>
      <c r="K162" s="8">
        <v>42422</v>
      </c>
      <c r="L162" s="5">
        <v>17504.580000000002</v>
      </c>
      <c r="M162" s="6">
        <v>17127.650000000001</v>
      </c>
      <c r="N162" s="6">
        <v>17504.580000000002</v>
      </c>
      <c r="O162" s="6">
        <v>17127.43</v>
      </c>
      <c r="P162" s="37">
        <v>720210</v>
      </c>
    </row>
    <row r="163" spans="2:16" ht="15" thickBot="1">
      <c r="B163" s="9">
        <f t="shared" si="12"/>
        <v>15</v>
      </c>
      <c r="C163" s="15">
        <f t="shared" si="17"/>
        <v>5</v>
      </c>
      <c r="D163" s="25">
        <f t="shared" si="16"/>
        <v>42419</v>
      </c>
      <c r="E163" s="16">
        <f t="shared" si="13"/>
        <v>-5.1191068911594639E-3</v>
      </c>
      <c r="F163" s="17">
        <f t="shared" si="14"/>
        <v>-1.1851083076793612E-2</v>
      </c>
      <c r="G163" s="18">
        <f t="shared" si="15"/>
        <v>-6.7319761856341476E-3</v>
      </c>
      <c r="J163" s="28"/>
      <c r="K163" s="8">
        <v>42419</v>
      </c>
      <c r="L163" s="7">
        <v>16909.560000000001</v>
      </c>
      <c r="M163" s="6">
        <v>17024.759999999998</v>
      </c>
      <c r="N163" s="6">
        <v>17219.77</v>
      </c>
      <c r="O163" s="6">
        <v>16703.7</v>
      </c>
      <c r="P163" s="37">
        <v>892980</v>
      </c>
    </row>
    <row r="164" spans="2:16" ht="15" thickBot="1">
      <c r="B164" s="9">
        <f t="shared" si="12"/>
        <v>14</v>
      </c>
      <c r="C164" s="15">
        <f t="shared" si="17"/>
        <v>4</v>
      </c>
      <c r="D164" s="25">
        <f t="shared" si="16"/>
        <v>42418</v>
      </c>
      <c r="E164" s="16">
        <f t="shared" si="13"/>
        <v>6.2498957008014777E-3</v>
      </c>
      <c r="F164" s="17">
        <f t="shared" si="14"/>
        <v>-1.5279760661392028E-2</v>
      </c>
      <c r="G164" s="18">
        <f t="shared" si="15"/>
        <v>-2.1529656362193506E-2</v>
      </c>
      <c r="J164" s="28"/>
      <c r="K164" s="8">
        <v>42418</v>
      </c>
      <c r="L164" s="7">
        <v>17112.36</v>
      </c>
      <c r="M164" s="6">
        <v>17486.5</v>
      </c>
      <c r="N164" s="6">
        <v>17623.73</v>
      </c>
      <c r="O164" s="6">
        <v>17068.509999999998</v>
      </c>
      <c r="P164" s="37">
        <v>1090000</v>
      </c>
    </row>
    <row r="165" spans="2:16" ht="15" thickBot="1">
      <c r="B165" s="9">
        <f t="shared" si="12"/>
        <v>13</v>
      </c>
      <c r="C165" s="15">
        <f t="shared" si="17"/>
        <v>3</v>
      </c>
      <c r="D165" s="25">
        <f t="shared" si="16"/>
        <v>42417</v>
      </c>
      <c r="E165" s="16">
        <f t="shared" si="13"/>
        <v>1.5886457237477281E-3</v>
      </c>
      <c r="F165" s="17">
        <f t="shared" si="14"/>
        <v>2.4770253758733318E-2</v>
      </c>
      <c r="G165" s="18">
        <f t="shared" si="15"/>
        <v>2.318160803498559E-2</v>
      </c>
      <c r="J165" s="28"/>
      <c r="K165" s="8">
        <v>42417</v>
      </c>
      <c r="L165" s="5">
        <v>17377.89</v>
      </c>
      <c r="M165" s="6">
        <v>16984.78</v>
      </c>
      <c r="N165" s="6">
        <v>17385.72</v>
      </c>
      <c r="O165" s="6">
        <v>16933.189999999999</v>
      </c>
      <c r="P165" s="37">
        <v>1040000</v>
      </c>
    </row>
    <row r="166" spans="2:16" ht="15" thickBot="1">
      <c r="B166" s="9">
        <f t="shared" si="12"/>
        <v>12</v>
      </c>
      <c r="C166" s="15">
        <f t="shared" si="17"/>
        <v>2</v>
      </c>
      <c r="D166" s="25">
        <f t="shared" si="16"/>
        <v>42416</v>
      </c>
      <c r="E166" s="16">
        <f t="shared" si="13"/>
        <v>8.2350359292611142E-3</v>
      </c>
      <c r="F166" s="17">
        <f t="shared" si="14"/>
        <v>-4.9278774215429921E-3</v>
      </c>
      <c r="G166" s="18">
        <f t="shared" si="15"/>
        <v>-1.3162913350804106E-2</v>
      </c>
      <c r="J166" s="28"/>
      <c r="K166" s="8">
        <v>42416</v>
      </c>
      <c r="L166" s="7">
        <v>16957.84</v>
      </c>
      <c r="M166" s="6">
        <v>17182.16</v>
      </c>
      <c r="N166" s="6">
        <v>17187.41</v>
      </c>
      <c r="O166" s="6">
        <v>16713.509999999998</v>
      </c>
      <c r="P166" s="37">
        <v>1240000</v>
      </c>
    </row>
    <row r="167" spans="2:16" ht="15" thickBot="1">
      <c r="B167" s="9">
        <f t="shared" si="12"/>
        <v>11</v>
      </c>
      <c r="C167" s="15">
        <f t="shared" si="17"/>
        <v>1</v>
      </c>
      <c r="D167" s="25">
        <f t="shared" si="16"/>
        <v>42415</v>
      </c>
      <c r="E167" s="16">
        <f t="shared" si="13"/>
        <v>1.6956839502823895E-2</v>
      </c>
      <c r="F167" s="17">
        <f t="shared" si="14"/>
        <v>3.190760811317328E-2</v>
      </c>
      <c r="G167" s="18">
        <f t="shared" si="15"/>
        <v>1.4950768610349385E-2</v>
      </c>
      <c r="J167" s="28"/>
      <c r="K167" s="8">
        <v>42415</v>
      </c>
      <c r="L167" s="5">
        <v>17041.82</v>
      </c>
      <c r="M167" s="6">
        <v>16794.91</v>
      </c>
      <c r="N167" s="6">
        <v>17225.580000000002</v>
      </c>
      <c r="O167" s="6">
        <v>16777.259999999998</v>
      </c>
      <c r="P167" s="37">
        <v>1110000</v>
      </c>
    </row>
    <row r="168" spans="2:16" ht="15" thickBot="1">
      <c r="B168" s="9">
        <f t="shared" si="12"/>
        <v>10</v>
      </c>
      <c r="C168" s="15">
        <f t="shared" si="17"/>
        <v>5</v>
      </c>
      <c r="D168" s="25">
        <f t="shared" si="16"/>
        <v>42412</v>
      </c>
      <c r="E168" s="16">
        <f t="shared" si="13"/>
        <v>2.133772903062181E-2</v>
      </c>
      <c r="F168" s="17">
        <f t="shared" si="14"/>
        <v>4.7034172319786904E-2</v>
      </c>
      <c r="G168" s="18">
        <f t="shared" si="15"/>
        <v>2.5696443289165094E-2</v>
      </c>
      <c r="J168" s="28"/>
      <c r="K168" s="8">
        <v>42412</v>
      </c>
      <c r="L168" s="5">
        <v>16514.87</v>
      </c>
      <c r="M168" s="6">
        <v>16109.56</v>
      </c>
      <c r="N168" s="6">
        <v>16514.87</v>
      </c>
      <c r="O168" s="6">
        <v>15840.91</v>
      </c>
      <c r="P168" s="37">
        <v>1220000</v>
      </c>
    </row>
    <row r="169" spans="2:16" ht="15" thickBot="1">
      <c r="B169" s="9">
        <f t="shared" si="12"/>
        <v>9</v>
      </c>
      <c r="C169" s="15">
        <f t="shared" si="17"/>
        <v>4</v>
      </c>
      <c r="D169" s="25">
        <f t="shared" si="16"/>
        <v>42411</v>
      </c>
      <c r="E169" s="16">
        <f t="shared" si="13"/>
        <v>-1.4146106231011535E-2</v>
      </c>
      <c r="F169" s="17">
        <f t="shared" si="14"/>
        <v>-5.6308012257884621E-2</v>
      </c>
      <c r="G169" s="18">
        <f t="shared" si="15"/>
        <v>-4.2161906026873086E-2</v>
      </c>
      <c r="J169" s="28"/>
      <c r="K169" s="8">
        <v>42411</v>
      </c>
      <c r="L169" s="7">
        <v>15773</v>
      </c>
      <c r="M169" s="6">
        <v>16477.7</v>
      </c>
      <c r="N169" s="6">
        <v>16477.7</v>
      </c>
      <c r="O169" s="6">
        <v>15773</v>
      </c>
      <c r="P169" s="37">
        <v>1200000</v>
      </c>
    </row>
    <row r="170" spans="2:16" ht="15" thickBot="1">
      <c r="B170" s="9">
        <f t="shared" si="12"/>
        <v>8</v>
      </c>
      <c r="C170" s="15">
        <f t="shared" si="17"/>
        <v>3</v>
      </c>
      <c r="D170" s="25">
        <f t="shared" si="16"/>
        <v>42410</v>
      </c>
      <c r="E170" s="16">
        <f t="shared" si="13"/>
        <v>1.1613687322159283E-2</v>
      </c>
      <c r="F170" s="17">
        <f t="shared" si="14"/>
        <v>5.033708034628015E-2</v>
      </c>
      <c r="G170" s="18">
        <f t="shared" si="15"/>
        <v>3.8723393024120867E-2</v>
      </c>
      <c r="J170" s="28"/>
      <c r="K170" s="8">
        <v>42410</v>
      </c>
      <c r="L170" s="5">
        <v>16714.14</v>
      </c>
      <c r="M170" s="6">
        <v>16097.93</v>
      </c>
      <c r="N170" s="6">
        <v>16816.96</v>
      </c>
      <c r="O170" s="6">
        <v>15918.58</v>
      </c>
      <c r="P170" s="37">
        <v>1270000</v>
      </c>
    </row>
    <row r="171" spans="2:16" ht="15" thickBot="1">
      <c r="B171" s="9">
        <f t="shared" si="12"/>
        <v>7</v>
      </c>
      <c r="C171" s="15">
        <f t="shared" si="17"/>
        <v>2</v>
      </c>
      <c r="D171" s="25">
        <f t="shared" si="16"/>
        <v>42409</v>
      </c>
      <c r="E171" s="16">
        <f t="shared" si="13"/>
        <v>5.3292946986838174E-3</v>
      </c>
      <c r="F171" s="17">
        <f t="shared" si="14"/>
        <v>-3.2119310026032188E-2</v>
      </c>
      <c r="G171" s="18">
        <f t="shared" si="15"/>
        <v>-3.7448604724716006E-2</v>
      </c>
      <c r="J171" s="28"/>
      <c r="K171" s="8">
        <v>42409</v>
      </c>
      <c r="L171" s="7">
        <v>15913.12</v>
      </c>
      <c r="M171" s="6">
        <v>16528.82</v>
      </c>
      <c r="N171" s="6">
        <v>16604.330000000002</v>
      </c>
      <c r="O171" s="6">
        <v>15848.63</v>
      </c>
      <c r="P171" s="37">
        <v>1270000</v>
      </c>
    </row>
    <row r="172" spans="2:16" ht="15" thickBot="1">
      <c r="B172" s="9">
        <f t="shared" si="12"/>
        <v>6</v>
      </c>
      <c r="C172" s="15">
        <f t="shared" si="17"/>
        <v>1</v>
      </c>
      <c r="D172" s="25">
        <f t="shared" si="16"/>
        <v>42408</v>
      </c>
      <c r="E172" s="16">
        <f t="shared" si="13"/>
        <v>1.2054311065456513E-2</v>
      </c>
      <c r="F172" s="17">
        <f t="shared" si="14"/>
        <v>-4.6901322067029572E-2</v>
      </c>
      <c r="G172" s="18">
        <f t="shared" si="15"/>
        <v>-5.8955633132486085E-2</v>
      </c>
      <c r="J172" s="28"/>
      <c r="K172" s="8">
        <v>42408</v>
      </c>
      <c r="L172" s="7">
        <v>16441.2</v>
      </c>
      <c r="M172" s="6">
        <v>17458.2</v>
      </c>
      <c r="N172" s="6">
        <v>17467.2</v>
      </c>
      <c r="O172" s="6">
        <v>16387.88</v>
      </c>
      <c r="P172" s="37">
        <v>1010000</v>
      </c>
    </row>
    <row r="173" spans="2:16" ht="15" thickBot="1">
      <c r="B173" s="9">
        <f t="shared" si="12"/>
        <v>5</v>
      </c>
      <c r="C173" s="15">
        <f t="shared" si="17"/>
        <v>5</v>
      </c>
      <c r="D173" s="25">
        <f t="shared" si="16"/>
        <v>42405</v>
      </c>
      <c r="E173" s="16">
        <f t="shared" si="13"/>
        <v>-3.8993443791117688E-3</v>
      </c>
      <c r="F173" s="17">
        <f t="shared" si="14"/>
        <v>-2.1319593056636776E-2</v>
      </c>
      <c r="G173" s="18">
        <f t="shared" si="15"/>
        <v>-1.7420248677525008E-2</v>
      </c>
      <c r="J173" s="28"/>
      <c r="K173" s="8">
        <v>42405</v>
      </c>
      <c r="L173" s="7">
        <v>17250.259999999998</v>
      </c>
      <c r="M173" s="6">
        <v>17557.310000000001</v>
      </c>
      <c r="N173" s="6">
        <v>17834.54</v>
      </c>
      <c r="O173" s="6">
        <v>17231.91</v>
      </c>
      <c r="P173" s="37">
        <v>1150000</v>
      </c>
    </row>
    <row r="174" spans="2:16" ht="15" thickBot="1">
      <c r="B174" s="9">
        <f t="shared" si="12"/>
        <v>4</v>
      </c>
      <c r="C174" s="15">
        <f t="shared" si="17"/>
        <v>4</v>
      </c>
      <c r="D174" s="25">
        <f t="shared" si="16"/>
        <v>42404</v>
      </c>
      <c r="E174" s="16">
        <f t="shared" si="13"/>
        <v>1.6865915768629058E-2</v>
      </c>
      <c r="F174" s="17">
        <f t="shared" si="14"/>
        <v>1.2290346220201753E-2</v>
      </c>
      <c r="G174" s="18">
        <f t="shared" si="15"/>
        <v>-4.5755695484273051E-3</v>
      </c>
      <c r="J174" s="28"/>
      <c r="K174" s="8">
        <v>42404</v>
      </c>
      <c r="L174" s="5">
        <v>17626.04</v>
      </c>
      <c r="M174" s="6">
        <v>17705.71</v>
      </c>
      <c r="N174" s="6">
        <v>17761.48</v>
      </c>
      <c r="O174" s="6">
        <v>17173.099999999999</v>
      </c>
      <c r="P174" s="37">
        <v>951880</v>
      </c>
    </row>
    <row r="175" spans="2:16" ht="15" thickBot="1">
      <c r="B175" s="9">
        <f t="shared" si="12"/>
        <v>3</v>
      </c>
      <c r="C175" s="15">
        <f t="shared" si="17"/>
        <v>3</v>
      </c>
      <c r="D175" s="25">
        <f t="shared" si="16"/>
        <v>42403</v>
      </c>
      <c r="E175" s="16">
        <f t="shared" si="13"/>
        <v>1.2169095185088352E-3</v>
      </c>
      <c r="F175" s="17">
        <f t="shared" si="14"/>
        <v>-2.8478807305920784E-2</v>
      </c>
      <c r="G175" s="18">
        <f t="shared" si="15"/>
        <v>-2.9695716824429619E-2</v>
      </c>
      <c r="J175" s="28"/>
      <c r="K175" s="8">
        <v>42403</v>
      </c>
      <c r="L175" s="7">
        <v>17412.04</v>
      </c>
      <c r="M175" s="6">
        <v>17944.259999999998</v>
      </c>
      <c r="N175" s="6">
        <v>17998.05</v>
      </c>
      <c r="O175" s="6">
        <v>17141.419999999998</v>
      </c>
      <c r="P175" s="37">
        <v>980110</v>
      </c>
    </row>
    <row r="176" spans="2:16" ht="15" thickBot="1">
      <c r="B176" s="9">
        <f t="shared" si="12"/>
        <v>2</v>
      </c>
      <c r="C176" s="15">
        <f t="shared" si="17"/>
        <v>2</v>
      </c>
      <c r="D176" s="25">
        <f t="shared" si="16"/>
        <v>42402</v>
      </c>
      <c r="E176" s="16">
        <f t="shared" si="13"/>
        <v>-6.0586553571662094E-5</v>
      </c>
      <c r="F176" s="17">
        <f t="shared" si="14"/>
        <v>-3.0482609765795088E-2</v>
      </c>
      <c r="G176" s="18">
        <f t="shared" si="15"/>
        <v>-3.0422023212223426E-2</v>
      </c>
      <c r="J176" s="28"/>
      <c r="K176" s="8">
        <v>42402</v>
      </c>
      <c r="L176" s="7">
        <v>17922.45</v>
      </c>
      <c r="M176" s="6">
        <v>18484.830000000002</v>
      </c>
      <c r="N176" s="6">
        <v>18495.740000000002</v>
      </c>
      <c r="O176" s="6">
        <v>17866.96</v>
      </c>
      <c r="P176" s="37">
        <v>737950</v>
      </c>
    </row>
    <row r="177" spans="2:16" ht="15" thickBot="1">
      <c r="B177" s="19">
        <v>1</v>
      </c>
      <c r="C177" s="15">
        <f t="shared" si="17"/>
        <v>1</v>
      </c>
      <c r="D177" s="25">
        <f t="shared" si="16"/>
        <v>42401</v>
      </c>
      <c r="E177" s="16">
        <f t="shared" si="13"/>
        <v>1.7237230058599895E-3</v>
      </c>
      <c r="F177" s="17">
        <f t="shared" si="14"/>
        <v>-9.1835416611951715E-3</v>
      </c>
      <c r="G177" s="18">
        <f t="shared" si="15"/>
        <v>-1.0907264667055161E-2</v>
      </c>
      <c r="J177" s="28"/>
      <c r="K177" s="8">
        <v>42401</v>
      </c>
      <c r="L177" s="7">
        <v>18485.95</v>
      </c>
      <c r="M177" s="6">
        <v>18689.45</v>
      </c>
      <c r="N177" s="6">
        <v>18792.14</v>
      </c>
      <c r="O177" s="6">
        <v>18285.830000000002</v>
      </c>
      <c r="P177" s="37">
        <v>640800</v>
      </c>
    </row>
    <row r="178" spans="2:16" ht="15" thickBot="1">
      <c r="B178" s="9">
        <f t="shared" si="12"/>
        <v>20</v>
      </c>
      <c r="C178" s="15">
        <f t="shared" si="17"/>
        <v>5</v>
      </c>
      <c r="D178" s="25">
        <f t="shared" si="16"/>
        <v>42398</v>
      </c>
      <c r="E178" s="16">
        <f t="shared" si="13"/>
        <v>1.6870304756197774E-2</v>
      </c>
      <c r="F178" s="17">
        <f t="shared" si="14"/>
        <v>2.5692209159453361E-2</v>
      </c>
      <c r="G178" s="18">
        <f t="shared" si="15"/>
        <v>8.8219044032555871E-3</v>
      </c>
      <c r="J178" s="28"/>
      <c r="K178" s="8">
        <v>42398</v>
      </c>
      <c r="L178" s="5">
        <v>18657.29</v>
      </c>
      <c r="M178" s="6">
        <v>18496.82</v>
      </c>
      <c r="N178" s="6">
        <v>18657.29</v>
      </c>
      <c r="O178" s="6">
        <v>18325.21</v>
      </c>
      <c r="P178" s="37">
        <v>870270</v>
      </c>
    </row>
    <row r="179" spans="2:16" ht="15" thickBot="1">
      <c r="B179" s="9">
        <f t="shared" si="12"/>
        <v>19</v>
      </c>
      <c r="C179" s="15">
        <f t="shared" si="17"/>
        <v>4</v>
      </c>
      <c r="D179" s="25">
        <f t="shared" si="16"/>
        <v>42397</v>
      </c>
      <c r="E179" s="16">
        <f t="shared" si="13"/>
        <v>-4.7638930965197002E-3</v>
      </c>
      <c r="F179" s="17">
        <f t="shared" si="14"/>
        <v>-3.4915054782913568E-2</v>
      </c>
      <c r="G179" s="18">
        <f t="shared" si="15"/>
        <v>-3.0151161686393868E-2</v>
      </c>
      <c r="J179" s="28"/>
      <c r="K179" s="8">
        <v>42397</v>
      </c>
      <c r="L179" s="7">
        <v>18189.95</v>
      </c>
      <c r="M179" s="6">
        <v>18758.240000000002</v>
      </c>
      <c r="N179" s="6">
        <v>18942.96</v>
      </c>
      <c r="O179" s="6">
        <v>18055.43</v>
      </c>
      <c r="P179" s="37">
        <v>1060000</v>
      </c>
    </row>
    <row r="180" spans="2:16" ht="15" thickBot="1">
      <c r="B180" s="9">
        <f t="shared" si="12"/>
        <v>18</v>
      </c>
      <c r="C180" s="15">
        <f t="shared" si="17"/>
        <v>3</v>
      </c>
      <c r="D180" s="25">
        <f t="shared" si="16"/>
        <v>42396</v>
      </c>
      <c r="E180" s="16">
        <f t="shared" si="13"/>
        <v>3.1653211849820284E-3</v>
      </c>
      <c r="F180" s="17">
        <f t="shared" si="14"/>
        <v>-4.0055316497771276E-3</v>
      </c>
      <c r="G180" s="18">
        <f t="shared" si="15"/>
        <v>-7.170852834759156E-3</v>
      </c>
      <c r="J180" s="28"/>
      <c r="K180" s="8">
        <v>42396</v>
      </c>
      <c r="L180" s="7">
        <v>18848.03</v>
      </c>
      <c r="M180" s="6">
        <v>18983.73</v>
      </c>
      <c r="N180" s="6">
        <v>19008.759999999998</v>
      </c>
      <c r="O180" s="6">
        <v>18570.650000000001</v>
      </c>
      <c r="P180" s="37">
        <v>755790</v>
      </c>
    </row>
    <row r="181" spans="2:16" ht="15" thickBot="1">
      <c r="B181" s="9">
        <f t="shared" si="12"/>
        <v>17</v>
      </c>
      <c r="C181" s="15">
        <f t="shared" si="17"/>
        <v>2</v>
      </c>
      <c r="D181" s="25">
        <f t="shared" si="16"/>
        <v>42395</v>
      </c>
      <c r="E181" s="16">
        <f t="shared" si="13"/>
        <v>-1.504709660772463E-2</v>
      </c>
      <c r="F181" s="17">
        <f t="shared" si="14"/>
        <v>1.5146874146727773E-2</v>
      </c>
      <c r="G181" s="18">
        <f t="shared" si="15"/>
        <v>3.0193970754452404E-2</v>
      </c>
      <c r="J181" s="28"/>
      <c r="K181" s="8">
        <v>42395</v>
      </c>
      <c r="L181" s="5">
        <v>18923.830000000002</v>
      </c>
      <c r="M181" s="6">
        <v>18360.97</v>
      </c>
      <c r="N181" s="6">
        <v>18960.86</v>
      </c>
      <c r="O181" s="6">
        <v>18256.41</v>
      </c>
      <c r="P181" s="37">
        <v>862400</v>
      </c>
    </row>
    <row r="182" spans="2:16" ht="15" thickBot="1">
      <c r="B182" s="9">
        <f t="shared" si="12"/>
        <v>16</v>
      </c>
      <c r="C182" s="15">
        <f t="shared" si="17"/>
        <v>1</v>
      </c>
      <c r="D182" s="25">
        <f t="shared" si="16"/>
        <v>42394</v>
      </c>
      <c r="E182" s="16">
        <f t="shared" si="13"/>
        <v>6.3137139079336713E-3</v>
      </c>
      <c r="F182" s="17">
        <f t="shared" si="14"/>
        <v>-2.0335372038245758E-2</v>
      </c>
      <c r="G182" s="18">
        <f t="shared" si="15"/>
        <v>-2.6649085946179429E-2</v>
      </c>
      <c r="J182" s="28"/>
      <c r="K182" s="8">
        <v>42394</v>
      </c>
      <c r="L182" s="7">
        <v>18641.47</v>
      </c>
      <c r="M182" s="6">
        <v>19148.560000000001</v>
      </c>
      <c r="N182" s="6">
        <v>19150.02</v>
      </c>
      <c r="O182" s="6">
        <v>18597.68</v>
      </c>
      <c r="P182" s="37">
        <v>796060</v>
      </c>
    </row>
    <row r="183" spans="2:16" ht="15" thickBot="1">
      <c r="B183" s="9">
        <f t="shared" si="12"/>
        <v>15</v>
      </c>
      <c r="C183" s="15">
        <f t="shared" si="17"/>
        <v>5</v>
      </c>
      <c r="D183" s="25">
        <f t="shared" si="16"/>
        <v>42391</v>
      </c>
      <c r="E183" s="16">
        <f t="shared" si="13"/>
        <v>1.874250262508248E-2</v>
      </c>
      <c r="F183" s="17">
        <f t="shared" si="14"/>
        <v>1.6300614958324244E-2</v>
      </c>
      <c r="G183" s="18">
        <f t="shared" si="15"/>
        <v>-2.4418876667582357E-3</v>
      </c>
      <c r="J183" s="28"/>
      <c r="K183" s="8">
        <v>42391</v>
      </c>
      <c r="L183" s="5">
        <v>19028.419999999998</v>
      </c>
      <c r="M183" s="6">
        <v>19074.14</v>
      </c>
      <c r="N183" s="6">
        <v>19305.32</v>
      </c>
      <c r="O183" s="6">
        <v>18890.89</v>
      </c>
      <c r="P183" s="37">
        <v>1010000</v>
      </c>
    </row>
    <row r="184" spans="2:16" ht="15" thickBot="1">
      <c r="B184" s="9">
        <f t="shared" si="12"/>
        <v>14</v>
      </c>
      <c r="C184" s="15">
        <f t="shared" si="17"/>
        <v>4</v>
      </c>
      <c r="D184" s="25">
        <f t="shared" si="16"/>
        <v>42390</v>
      </c>
      <c r="E184" s="16">
        <f t="shared" si="13"/>
        <v>4.7061678292021902E-3</v>
      </c>
      <c r="F184" s="17">
        <f t="shared" si="14"/>
        <v>4.2036608598329028E-2</v>
      </c>
      <c r="G184" s="18">
        <f t="shared" si="15"/>
        <v>3.7330440769126838E-2</v>
      </c>
      <c r="J184" s="28"/>
      <c r="K184" s="8">
        <v>42390</v>
      </c>
      <c r="L184" s="5">
        <v>18723.22</v>
      </c>
      <c r="M184" s="6">
        <v>18052.47</v>
      </c>
      <c r="N184" s="6">
        <v>18750.18</v>
      </c>
      <c r="O184" s="6">
        <v>17836.03</v>
      </c>
      <c r="P184" s="37">
        <v>1250000</v>
      </c>
    </row>
    <row r="185" spans="2:16" ht="15" thickBot="1">
      <c r="B185" s="9">
        <f t="shared" si="12"/>
        <v>13</v>
      </c>
      <c r="C185" s="15">
        <f t="shared" si="17"/>
        <v>3</v>
      </c>
      <c r="D185" s="25">
        <f t="shared" si="16"/>
        <v>42389</v>
      </c>
      <c r="E185" s="16">
        <f t="shared" si="13"/>
        <v>-2.5652365506882324E-2</v>
      </c>
      <c r="F185" s="17">
        <f t="shared" si="14"/>
        <v>-4.833606277793201E-2</v>
      </c>
      <c r="G185" s="18">
        <f t="shared" si="15"/>
        <v>-2.2683697271049685E-2</v>
      </c>
      <c r="J185" s="28"/>
      <c r="K185" s="8">
        <v>42389</v>
      </c>
      <c r="L185" s="7">
        <v>17967.91</v>
      </c>
      <c r="M185" s="6">
        <v>18396.189999999999</v>
      </c>
      <c r="N185" s="6">
        <v>18475.84</v>
      </c>
      <c r="O185" s="6">
        <v>17868.57</v>
      </c>
      <c r="P185" s="37">
        <v>916490</v>
      </c>
    </row>
    <row r="186" spans="2:16" ht="15" thickBot="1">
      <c r="B186" s="9">
        <f t="shared" si="12"/>
        <v>12</v>
      </c>
      <c r="C186" s="15">
        <f t="shared" si="17"/>
        <v>2</v>
      </c>
      <c r="D186" s="25">
        <f t="shared" si="16"/>
        <v>42388</v>
      </c>
      <c r="E186" s="16">
        <f t="shared" si="13"/>
        <v>1.9929511967232472E-2</v>
      </c>
      <c r="F186" s="17">
        <f t="shared" si="14"/>
        <v>1.0363431844622406E-2</v>
      </c>
      <c r="G186" s="18">
        <f t="shared" si="15"/>
        <v>-9.5660801226100656E-3</v>
      </c>
      <c r="J186" s="28"/>
      <c r="K186" s="8">
        <v>42388</v>
      </c>
      <c r="L186" s="5">
        <v>18880.52</v>
      </c>
      <c r="M186" s="6">
        <v>19059.28</v>
      </c>
      <c r="N186" s="6">
        <v>19168.009999999998</v>
      </c>
      <c r="O186" s="6">
        <v>18547.46</v>
      </c>
      <c r="P186" s="37">
        <v>858090</v>
      </c>
    </row>
    <row r="187" spans="2:16" ht="15" thickBot="1">
      <c r="B187" s="9">
        <f t="shared" si="12"/>
        <v>11</v>
      </c>
      <c r="C187" s="15">
        <f t="shared" si="17"/>
        <v>1</v>
      </c>
      <c r="D187" s="25">
        <f t="shared" si="16"/>
        <v>42387</v>
      </c>
      <c r="E187" s="16">
        <f t="shared" si="13"/>
        <v>1.1148190711174344E-4</v>
      </c>
      <c r="F187" s="17">
        <f t="shared" si="14"/>
        <v>-2.6520191248774361E-2</v>
      </c>
      <c r="G187" s="18">
        <f t="shared" si="15"/>
        <v>-2.6631673155886104E-2</v>
      </c>
      <c r="J187" s="28"/>
      <c r="K187" s="8">
        <v>42387</v>
      </c>
      <c r="L187" s="7">
        <v>18686.86</v>
      </c>
      <c r="M187" s="6">
        <v>19198.080000000002</v>
      </c>
      <c r="N187" s="6">
        <v>19360.599999999999</v>
      </c>
      <c r="O187" s="6">
        <v>18637.599999999999</v>
      </c>
      <c r="P187" s="37">
        <v>735820</v>
      </c>
    </row>
    <row r="188" spans="2:16" ht="15" thickBot="1">
      <c r="B188" s="9">
        <f t="shared" si="12"/>
        <v>10</v>
      </c>
      <c r="C188" s="15">
        <f t="shared" si="17"/>
        <v>5</v>
      </c>
      <c r="D188" s="25">
        <f t="shared" si="16"/>
        <v>42384</v>
      </c>
      <c r="E188" s="16">
        <f t="shared" si="13"/>
        <v>-5.4889536701002717E-3</v>
      </c>
      <c r="F188" s="17">
        <f t="shared" si="14"/>
        <v>-3.0675020110172979E-2</v>
      </c>
      <c r="G188" s="18">
        <f t="shared" si="15"/>
        <v>-2.5186066440072707E-2</v>
      </c>
      <c r="J188" s="28"/>
      <c r="K188" s="8">
        <v>42384</v>
      </c>
      <c r="L188" s="7">
        <v>19195.939999999999</v>
      </c>
      <c r="M188" s="6">
        <v>19694.71</v>
      </c>
      <c r="N188" s="6">
        <v>19770.54</v>
      </c>
      <c r="O188" s="6">
        <v>19117.560000000001</v>
      </c>
      <c r="P188" s="37">
        <v>838490</v>
      </c>
    </row>
    <row r="189" spans="2:16" ht="15" thickBot="1">
      <c r="B189" s="9">
        <f t="shared" si="12"/>
        <v>9</v>
      </c>
      <c r="C189" s="15">
        <f t="shared" si="17"/>
        <v>4</v>
      </c>
      <c r="D189" s="25">
        <f t="shared" si="16"/>
        <v>42383</v>
      </c>
      <c r="E189" s="16">
        <f t="shared" si="13"/>
        <v>-1.2944472829268583E-2</v>
      </c>
      <c r="F189" s="17">
        <f t="shared" si="14"/>
        <v>-1.6706165432050946E-2</v>
      </c>
      <c r="G189" s="18">
        <f t="shared" si="15"/>
        <v>-3.7616926027823627E-3</v>
      </c>
      <c r="J189" s="28"/>
      <c r="K189" s="8">
        <v>42383</v>
      </c>
      <c r="L189" s="7">
        <v>19803.41</v>
      </c>
      <c r="M189" s="6">
        <v>19879.169999999998</v>
      </c>
      <c r="N189" s="6">
        <v>19995.29</v>
      </c>
      <c r="O189" s="6">
        <v>19576.09</v>
      </c>
      <c r="P189" s="37">
        <v>793080</v>
      </c>
    </row>
    <row r="190" spans="2:16" ht="15" thickBot="1">
      <c r="B190" s="9">
        <f t="shared" si="12"/>
        <v>8</v>
      </c>
      <c r="C190" s="15">
        <f t="shared" si="17"/>
        <v>3</v>
      </c>
      <c r="D190" s="25">
        <f t="shared" si="16"/>
        <v>42382</v>
      </c>
      <c r="E190" s="16">
        <f t="shared" si="13"/>
        <v>7.0755779890938619E-3</v>
      </c>
      <c r="F190" s="17">
        <f t="shared" si="14"/>
        <v>8.5012093079153139E-3</v>
      </c>
      <c r="G190" s="18">
        <f t="shared" si="15"/>
        <v>1.425631318821452E-3</v>
      </c>
      <c r="J190" s="28"/>
      <c r="K190" s="8">
        <v>42382</v>
      </c>
      <c r="L190" s="5">
        <v>20139.87</v>
      </c>
      <c r="M190" s="6">
        <v>20111.400000000001</v>
      </c>
      <c r="N190" s="6">
        <v>20383.419999999998</v>
      </c>
      <c r="O190" s="6">
        <v>20033.66</v>
      </c>
      <c r="P190" s="37">
        <v>666290</v>
      </c>
    </row>
    <row r="191" spans="2:16" ht="15" thickBot="1">
      <c r="B191" s="9">
        <f t="shared" si="12"/>
        <v>7</v>
      </c>
      <c r="C191" s="15">
        <f t="shared" si="17"/>
        <v>2</v>
      </c>
      <c r="D191" s="25">
        <f t="shared" si="16"/>
        <v>42381</v>
      </c>
      <c r="E191" s="16">
        <f t="shared" si="13"/>
        <v>1.5807743820401843E-3</v>
      </c>
      <c r="F191" s="17">
        <f t="shared" si="14"/>
        <v>1.0830050809520486E-2</v>
      </c>
      <c r="G191" s="18">
        <f t="shared" si="15"/>
        <v>9.2492764274803019E-3</v>
      </c>
      <c r="J191" s="28"/>
      <c r="K191" s="8">
        <v>42381</v>
      </c>
      <c r="L191" s="5">
        <v>19970.099999999999</v>
      </c>
      <c r="M191" s="6">
        <v>19787.37</v>
      </c>
      <c r="N191" s="6">
        <v>20143.689999999999</v>
      </c>
      <c r="O191" s="6">
        <v>19713.25</v>
      </c>
      <c r="P191" s="37">
        <v>599210</v>
      </c>
    </row>
    <row r="192" spans="2:16" ht="15" thickBot="1">
      <c r="B192" s="9">
        <f t="shared" si="12"/>
        <v>6</v>
      </c>
      <c r="C192" s="15">
        <f t="shared" si="17"/>
        <v>1</v>
      </c>
      <c r="D192" s="25">
        <f t="shared" si="16"/>
        <v>42380</v>
      </c>
      <c r="E192" s="16">
        <f t="shared" si="13"/>
        <v>-2.853118021650447E-3</v>
      </c>
      <c r="F192" s="17">
        <f t="shared" si="14"/>
        <v>-5.7047261907579028E-3</v>
      </c>
      <c r="G192" s="18">
        <f t="shared" si="15"/>
        <v>-2.8516081691074557E-3</v>
      </c>
      <c r="J192" s="28"/>
      <c r="K192" s="8">
        <v>42380</v>
      </c>
      <c r="L192" s="7">
        <v>19756.14</v>
      </c>
      <c r="M192" s="6">
        <v>19812.8</v>
      </c>
      <c r="N192" s="6">
        <v>20110.259999999998</v>
      </c>
      <c r="O192" s="6">
        <v>19756.14</v>
      </c>
      <c r="P192" s="37">
        <v>560850</v>
      </c>
    </row>
    <row r="193" spans="2:16" ht="15" thickBot="1">
      <c r="B193" s="9">
        <f t="shared" si="12"/>
        <v>5</v>
      </c>
      <c r="C193" s="15">
        <f t="shared" si="17"/>
        <v>5</v>
      </c>
      <c r="D193" s="25">
        <f t="shared" si="16"/>
        <v>42377</v>
      </c>
      <c r="E193" s="16">
        <f t="shared" si="13"/>
        <v>-1.5849838628789747E-5</v>
      </c>
      <c r="F193" s="17">
        <f t="shared" si="14"/>
        <v>-1.5849343321373222E-2</v>
      </c>
      <c r="G193" s="18">
        <f t="shared" si="15"/>
        <v>-1.5833493482744432E-2</v>
      </c>
      <c r="J193" s="28"/>
      <c r="K193" s="8">
        <v>42377</v>
      </c>
      <c r="L193" s="7">
        <v>19869.490000000002</v>
      </c>
      <c r="M193" s="6">
        <v>20189.16</v>
      </c>
      <c r="N193" s="6">
        <v>20350.12</v>
      </c>
      <c r="O193" s="6">
        <v>19869.490000000002</v>
      </c>
      <c r="P193" s="37">
        <v>567020</v>
      </c>
    </row>
    <row r="194" spans="2:16" ht="15" thickBot="1">
      <c r="B194" s="9">
        <f t="shared" si="12"/>
        <v>4</v>
      </c>
      <c r="C194" s="15">
        <f t="shared" si="17"/>
        <v>4</v>
      </c>
      <c r="D194" s="25">
        <f t="shared" si="16"/>
        <v>42376</v>
      </c>
      <c r="E194" s="16">
        <f t="shared" si="13"/>
        <v>-3.1394954263433417E-2</v>
      </c>
      <c r="F194" s="17">
        <f t="shared" si="14"/>
        <v>-1.1404639711610653E-2</v>
      </c>
      <c r="G194" s="18">
        <f t="shared" si="15"/>
        <v>1.9990314551822763E-2</v>
      </c>
      <c r="J194" s="28"/>
      <c r="K194" s="8">
        <v>42376</v>
      </c>
      <c r="L194" s="7">
        <v>20189.48</v>
      </c>
      <c r="M194" s="6">
        <v>19781.23</v>
      </c>
      <c r="N194" s="6">
        <v>20288.68</v>
      </c>
      <c r="O194" s="6">
        <v>19631.810000000001</v>
      </c>
      <c r="P194" s="37">
        <v>772730</v>
      </c>
    </row>
    <row r="195" spans="2:16" ht="15" thickBot="1">
      <c r="B195" s="9">
        <f t="shared" si="12"/>
        <v>3</v>
      </c>
      <c r="C195" s="15">
        <f t="shared" si="17"/>
        <v>3</v>
      </c>
      <c r="D195" s="25">
        <f t="shared" si="16"/>
        <v>42375</v>
      </c>
      <c r="E195" s="16">
        <f t="shared" si="13"/>
        <v>-2.9046991789638543E-3</v>
      </c>
      <c r="F195" s="17">
        <f t="shared" si="14"/>
        <v>-2.6728474725542961E-2</v>
      </c>
      <c r="G195" s="18">
        <f t="shared" si="15"/>
        <v>-2.3823775546579107E-2</v>
      </c>
      <c r="J195" s="28"/>
      <c r="K195" s="8">
        <v>42375</v>
      </c>
      <c r="L195" s="7">
        <v>20422.39</v>
      </c>
      <c r="M195" s="6">
        <v>20922.29</v>
      </c>
      <c r="N195" s="6">
        <v>20930.61</v>
      </c>
      <c r="O195" s="6">
        <v>20373.189999999999</v>
      </c>
      <c r="P195" s="37">
        <v>524270</v>
      </c>
    </row>
    <row r="196" spans="2:16" ht="15" thickBot="1">
      <c r="B196" s="9">
        <f t="shared" si="12"/>
        <v>2</v>
      </c>
      <c r="C196" s="15">
        <f t="shared" si="17"/>
        <v>2</v>
      </c>
      <c r="D196" s="25">
        <f t="shared" si="16"/>
        <v>42374</v>
      </c>
      <c r="E196" s="16">
        <f t="shared" si="13"/>
        <v>9.8529889103833312E-3</v>
      </c>
      <c r="F196" s="17">
        <f t="shared" si="14"/>
        <v>1.2030109275622758E-2</v>
      </c>
      <c r="G196" s="18">
        <f t="shared" si="15"/>
        <v>2.1771203652394266E-3</v>
      </c>
      <c r="J196" s="28"/>
      <c r="K196" s="8">
        <v>42374</v>
      </c>
      <c r="L196" s="5">
        <v>20983.24</v>
      </c>
      <c r="M196" s="6">
        <v>20938.099999999999</v>
      </c>
      <c r="N196" s="6">
        <v>20983.24</v>
      </c>
      <c r="O196" s="6">
        <v>20722.189999999999</v>
      </c>
      <c r="P196" s="37">
        <v>435630</v>
      </c>
    </row>
    <row r="197" spans="2:16" ht="15" thickBot="1">
      <c r="B197" s="19">
        <v>1</v>
      </c>
      <c r="C197" s="15">
        <f t="shared" si="17"/>
        <v>1</v>
      </c>
      <c r="D197" s="25">
        <f t="shared" si="16"/>
        <v>42373</v>
      </c>
      <c r="E197" s="16">
        <f t="shared" si="13"/>
        <v>-1.0843028671182586E-2</v>
      </c>
      <c r="F197" s="17">
        <f t="shared" si="14"/>
        <v>-3.196134906624537E-2</v>
      </c>
      <c r="G197" s="18">
        <f t="shared" si="15"/>
        <v>-2.1118320395062784E-2</v>
      </c>
      <c r="J197" s="28"/>
      <c r="K197" s="8">
        <v>42373</v>
      </c>
      <c r="L197" s="7">
        <v>20733.810000000001</v>
      </c>
      <c r="M197" s="6">
        <v>21186.13</v>
      </c>
      <c r="N197" s="6">
        <v>21194.17</v>
      </c>
      <c r="O197" s="6">
        <v>20701.57</v>
      </c>
      <c r="P197" s="37">
        <v>562350</v>
      </c>
    </row>
    <row r="198" spans="2:16" ht="15" thickBot="1">
      <c r="B198" s="9">
        <f t="shared" ref="B198:B261" si="18">B199+1</f>
        <v>20</v>
      </c>
      <c r="C198" s="15">
        <f t="shared" si="17"/>
        <v>3</v>
      </c>
      <c r="D198" s="25">
        <f t="shared" si="16"/>
        <v>42368</v>
      </c>
      <c r="E198" s="16">
        <f t="shared" ref="E198:E261" si="19">M198/L199-1</f>
        <v>-3.046904322126065E-3</v>
      </c>
      <c r="F198" s="17">
        <f t="shared" ref="F198:F261" si="20">L198/L199-1</f>
        <v>-1.1216301122784378E-2</v>
      </c>
      <c r="G198" s="18">
        <f t="shared" ref="G198:G261" si="21">F198-E198</f>
        <v>-8.1693968006583129E-3</v>
      </c>
      <c r="J198" s="28"/>
      <c r="K198" s="8">
        <v>42368</v>
      </c>
      <c r="L198" s="7">
        <v>21418.37</v>
      </c>
      <c r="M198" s="6">
        <v>21595.33</v>
      </c>
      <c r="N198" s="6">
        <v>21659.49</v>
      </c>
      <c r="O198" s="6">
        <v>21418.37</v>
      </c>
      <c r="P198" s="37">
        <v>262990</v>
      </c>
    </row>
    <row r="199" spans="2:16" ht="15" thickBot="1">
      <c r="B199" s="9">
        <f t="shared" si="18"/>
        <v>19</v>
      </c>
      <c r="C199" s="15">
        <f t="shared" si="17"/>
        <v>2</v>
      </c>
      <c r="D199" s="25">
        <f t="shared" ref="D199:D262" si="22">K199</f>
        <v>42367</v>
      </c>
      <c r="E199" s="16">
        <f t="shared" si="19"/>
        <v>5.425110498077812E-3</v>
      </c>
      <c r="F199" s="17">
        <f t="shared" si="20"/>
        <v>1.3672981845323839E-2</v>
      </c>
      <c r="G199" s="18">
        <f t="shared" si="21"/>
        <v>8.2478713472460274E-3</v>
      </c>
      <c r="J199" s="28"/>
      <c r="K199" s="8">
        <v>42367</v>
      </c>
      <c r="L199" s="5">
        <v>21661.33</v>
      </c>
      <c r="M199" s="6">
        <v>21485.08</v>
      </c>
      <c r="N199" s="6">
        <v>21705.71</v>
      </c>
      <c r="O199" s="6">
        <v>21481.200000000001</v>
      </c>
      <c r="P199" s="37">
        <v>271470</v>
      </c>
    </row>
    <row r="200" spans="2:16" ht="15" thickBot="1">
      <c r="B200" s="9">
        <f t="shared" si="18"/>
        <v>18</v>
      </c>
      <c r="C200" s="15">
        <f t="shared" ref="C200:C263" si="23">WEEKDAY(D200,2)</f>
        <v>1</v>
      </c>
      <c r="D200" s="25">
        <f t="shared" si="22"/>
        <v>42366</v>
      </c>
      <c r="E200" s="16">
        <f t="shared" si="19"/>
        <v>-7.1773590674339971E-5</v>
      </c>
      <c r="F200" s="17">
        <f t="shared" si="20"/>
        <v>-4.0645291186388599E-3</v>
      </c>
      <c r="G200" s="18">
        <f t="shared" si="21"/>
        <v>-3.9927555279645199E-3</v>
      </c>
      <c r="J200" s="28"/>
      <c r="K200" s="8">
        <v>42366</v>
      </c>
      <c r="L200" s="7">
        <v>21369.15</v>
      </c>
      <c r="M200" s="6">
        <v>21454.82</v>
      </c>
      <c r="N200" s="6">
        <v>21505.360000000001</v>
      </c>
      <c r="O200" s="6">
        <v>21326.28</v>
      </c>
      <c r="P200" s="37">
        <v>240150</v>
      </c>
    </row>
    <row r="201" spans="2:16" ht="15" thickBot="1">
      <c r="B201" s="9">
        <f t="shared" si="18"/>
        <v>17</v>
      </c>
      <c r="C201" s="15">
        <f t="shared" si="23"/>
        <v>3</v>
      </c>
      <c r="D201" s="25">
        <f t="shared" si="22"/>
        <v>42361</v>
      </c>
      <c r="E201" s="16">
        <f t="shared" si="19"/>
        <v>8.0678514330159157E-3</v>
      </c>
      <c r="F201" s="17">
        <f t="shared" si="20"/>
        <v>1.8814223843822475E-2</v>
      </c>
      <c r="G201" s="18">
        <f t="shared" si="21"/>
        <v>1.0746372410806559E-2</v>
      </c>
      <c r="J201" s="28"/>
      <c r="K201" s="8">
        <v>42361</v>
      </c>
      <c r="L201" s="5">
        <v>21456.36</v>
      </c>
      <c r="M201" s="6">
        <v>21230.04</v>
      </c>
      <c r="N201" s="6">
        <v>21462.87</v>
      </c>
      <c r="O201" s="6">
        <v>21185.360000000001</v>
      </c>
      <c r="P201" s="37">
        <v>395400</v>
      </c>
    </row>
    <row r="202" spans="2:16" ht="15" thickBot="1">
      <c r="B202" s="9">
        <f t="shared" si="18"/>
        <v>16</v>
      </c>
      <c r="C202" s="15">
        <f t="shared" si="23"/>
        <v>2</v>
      </c>
      <c r="D202" s="25">
        <f t="shared" si="22"/>
        <v>42360</v>
      </c>
      <c r="E202" s="16">
        <f t="shared" si="19"/>
        <v>4.9044234600925662E-3</v>
      </c>
      <c r="F202" s="17">
        <f t="shared" si="20"/>
        <v>-1.8574058310882879E-3</v>
      </c>
      <c r="G202" s="18">
        <f t="shared" si="21"/>
        <v>-6.7618292911808542E-3</v>
      </c>
      <c r="J202" s="28"/>
      <c r="K202" s="8">
        <v>42360</v>
      </c>
      <c r="L202" s="7">
        <v>21060.13</v>
      </c>
      <c r="M202" s="6">
        <v>21202.799999999999</v>
      </c>
      <c r="N202" s="6">
        <v>21282.69</v>
      </c>
      <c r="O202" s="6">
        <v>20968.12</v>
      </c>
      <c r="P202" s="37">
        <v>343790</v>
      </c>
    </row>
    <row r="203" spans="2:16" ht="15" thickBot="1">
      <c r="B203" s="9">
        <f t="shared" si="18"/>
        <v>15</v>
      </c>
      <c r="C203" s="15">
        <f t="shared" si="23"/>
        <v>1</v>
      </c>
      <c r="D203" s="25">
        <f t="shared" si="22"/>
        <v>42359</v>
      </c>
      <c r="E203" s="16">
        <f t="shared" si="19"/>
        <v>1.0253305608294294E-3</v>
      </c>
      <c r="F203" s="17">
        <f t="shared" si="20"/>
        <v>-6.7136084150546393E-3</v>
      </c>
      <c r="G203" s="18">
        <f t="shared" si="21"/>
        <v>-7.7389389758840688E-3</v>
      </c>
      <c r="J203" s="28"/>
      <c r="K203" s="8">
        <v>42359</v>
      </c>
      <c r="L203" s="7">
        <v>21099.32</v>
      </c>
      <c r="M203" s="6">
        <v>21263.71</v>
      </c>
      <c r="N203" s="6">
        <v>21431.69</v>
      </c>
      <c r="O203" s="6">
        <v>21099.32</v>
      </c>
      <c r="P203" s="37">
        <v>389550</v>
      </c>
    </row>
    <row r="204" spans="2:16" ht="15" thickBot="1">
      <c r="B204" s="9">
        <f t="shared" si="18"/>
        <v>14</v>
      </c>
      <c r="C204" s="15">
        <f t="shared" si="23"/>
        <v>5</v>
      </c>
      <c r="D204" s="25">
        <f t="shared" si="22"/>
        <v>42356</v>
      </c>
      <c r="E204" s="16">
        <f t="shared" si="19"/>
        <v>-9.908423972383118E-3</v>
      </c>
      <c r="F204" s="17">
        <f t="shared" si="20"/>
        <v>-1.3063638602245908E-2</v>
      </c>
      <c r="G204" s="18">
        <f t="shared" si="21"/>
        <v>-3.1552146298627903E-3</v>
      </c>
      <c r="J204" s="28"/>
      <c r="K204" s="8">
        <v>42356</v>
      </c>
      <c r="L204" s="7">
        <v>21241.93</v>
      </c>
      <c r="M204" s="6">
        <v>21309.84</v>
      </c>
      <c r="N204" s="6">
        <v>21479.13</v>
      </c>
      <c r="O204" s="6">
        <v>21208.81</v>
      </c>
      <c r="P204" s="37">
        <v>714080</v>
      </c>
    </row>
    <row r="205" spans="2:16" ht="15" thickBot="1">
      <c r="B205" s="9">
        <f t="shared" si="18"/>
        <v>13</v>
      </c>
      <c r="C205" s="15">
        <f t="shared" si="23"/>
        <v>4</v>
      </c>
      <c r="D205" s="25">
        <f t="shared" si="22"/>
        <v>42355</v>
      </c>
      <c r="E205" s="16">
        <f t="shared" si="19"/>
        <v>1.6354372394830285E-2</v>
      </c>
      <c r="F205" s="17">
        <f t="shared" si="20"/>
        <v>1.4750900862461114E-2</v>
      </c>
      <c r="G205" s="18">
        <f t="shared" si="21"/>
        <v>-1.6034715323691717E-3</v>
      </c>
      <c r="J205" s="28"/>
      <c r="K205" s="8">
        <v>42355</v>
      </c>
      <c r="L205" s="5">
        <v>21523.1</v>
      </c>
      <c r="M205" s="6">
        <v>21557.11</v>
      </c>
      <c r="N205" s="6">
        <v>21730.23</v>
      </c>
      <c r="O205" s="6">
        <v>21480.07</v>
      </c>
      <c r="P205" s="37">
        <v>622300</v>
      </c>
    </row>
    <row r="206" spans="2:16" ht="15" thickBot="1">
      <c r="B206" s="9">
        <f t="shared" si="18"/>
        <v>12</v>
      </c>
      <c r="C206" s="15">
        <f t="shared" si="23"/>
        <v>3</v>
      </c>
      <c r="D206" s="25">
        <f t="shared" si="22"/>
        <v>42354</v>
      </c>
      <c r="E206" s="16">
        <f t="shared" si="19"/>
        <v>-2.5760741006775056E-4</v>
      </c>
      <c r="F206" s="17">
        <f t="shared" si="20"/>
        <v>-2.9356902844399624E-3</v>
      </c>
      <c r="G206" s="18">
        <f t="shared" si="21"/>
        <v>-2.6780828743722118E-3</v>
      </c>
      <c r="J206" s="28"/>
      <c r="K206" s="8">
        <v>42354</v>
      </c>
      <c r="L206" s="7">
        <v>21210.23</v>
      </c>
      <c r="M206" s="6">
        <v>21267.200000000001</v>
      </c>
      <c r="N206" s="6">
        <v>21373.88</v>
      </c>
      <c r="O206" s="6">
        <v>21095.439999999999</v>
      </c>
      <c r="P206" s="37">
        <v>557050</v>
      </c>
    </row>
    <row r="207" spans="2:16" ht="15" thickBot="1">
      <c r="B207" s="9">
        <f t="shared" si="18"/>
        <v>11</v>
      </c>
      <c r="C207" s="15">
        <f t="shared" si="23"/>
        <v>2</v>
      </c>
      <c r="D207" s="25">
        <f t="shared" si="22"/>
        <v>42353</v>
      </c>
      <c r="E207" s="16">
        <f t="shared" si="19"/>
        <v>7.9940272771250598E-3</v>
      </c>
      <c r="F207" s="17">
        <f t="shared" si="20"/>
        <v>3.7359752196370222E-2</v>
      </c>
      <c r="G207" s="18">
        <f t="shared" si="21"/>
        <v>2.9365724919245162E-2</v>
      </c>
      <c r="J207" s="28"/>
      <c r="K207" s="8">
        <v>42353</v>
      </c>
      <c r="L207" s="5">
        <v>21272.68</v>
      </c>
      <c r="M207" s="6">
        <v>20670.490000000002</v>
      </c>
      <c r="N207" s="6">
        <v>21272.68</v>
      </c>
      <c r="O207" s="6">
        <v>20659.46</v>
      </c>
      <c r="P207" s="37">
        <v>633000</v>
      </c>
    </row>
    <row r="208" spans="2:16" ht="15" thickBot="1">
      <c r="B208" s="9">
        <f t="shared" si="18"/>
        <v>10</v>
      </c>
      <c r="C208" s="15">
        <f t="shared" si="23"/>
        <v>1</v>
      </c>
      <c r="D208" s="25">
        <f t="shared" si="22"/>
        <v>42352</v>
      </c>
      <c r="E208" s="16">
        <f t="shared" si="19"/>
        <v>2.2440803814747223E-3</v>
      </c>
      <c r="F208" s="17">
        <f t="shared" si="20"/>
        <v>-2.4207612647743626E-2</v>
      </c>
      <c r="G208" s="18">
        <f t="shared" si="21"/>
        <v>-2.6451693029218348E-2</v>
      </c>
      <c r="J208" s="28"/>
      <c r="K208" s="8">
        <v>42352</v>
      </c>
      <c r="L208" s="7">
        <v>20506.560000000001</v>
      </c>
      <c r="M208" s="6">
        <v>21062.45</v>
      </c>
      <c r="N208" s="6">
        <v>21186.99</v>
      </c>
      <c r="O208" s="6">
        <v>20506.560000000001</v>
      </c>
      <c r="P208" s="37">
        <v>810760</v>
      </c>
    </row>
    <row r="209" spans="2:16" ht="15" thickBot="1">
      <c r="B209" s="9">
        <f t="shared" si="18"/>
        <v>9</v>
      </c>
      <c r="C209" s="15">
        <f t="shared" si="23"/>
        <v>5</v>
      </c>
      <c r="D209" s="25">
        <f t="shared" si="22"/>
        <v>42349</v>
      </c>
      <c r="E209" s="16">
        <f t="shared" si="19"/>
        <v>-2.7263432390005615E-3</v>
      </c>
      <c r="F209" s="17">
        <f t="shared" si="20"/>
        <v>-1.8418814337286538E-2</v>
      </c>
      <c r="G209" s="18">
        <f t="shared" si="21"/>
        <v>-1.5692471098285976E-2</v>
      </c>
      <c r="J209" s="28"/>
      <c r="K209" s="8">
        <v>42349</v>
      </c>
      <c r="L209" s="7">
        <v>21015.29</v>
      </c>
      <c r="M209" s="6">
        <v>21351.26</v>
      </c>
      <c r="N209" s="6">
        <v>21386.23</v>
      </c>
      <c r="O209" s="6">
        <v>20924.07</v>
      </c>
      <c r="P209" s="37">
        <v>584310</v>
      </c>
    </row>
    <row r="210" spans="2:16" ht="15" thickBot="1">
      <c r="B210" s="9">
        <f t="shared" si="18"/>
        <v>8</v>
      </c>
      <c r="C210" s="15">
        <f t="shared" si="23"/>
        <v>4</v>
      </c>
      <c r="D210" s="25">
        <f t="shared" si="22"/>
        <v>42348</v>
      </c>
      <c r="E210" s="16">
        <f t="shared" si="19"/>
        <v>-4.563069046476298E-3</v>
      </c>
      <c r="F210" s="17">
        <f t="shared" si="20"/>
        <v>-4.2440123380996786E-3</v>
      </c>
      <c r="G210" s="18">
        <f t="shared" si="21"/>
        <v>3.1905670837661937E-4</v>
      </c>
      <c r="J210" s="28"/>
      <c r="K210" s="8">
        <v>42348</v>
      </c>
      <c r="L210" s="7">
        <v>21409.63</v>
      </c>
      <c r="M210" s="6">
        <v>21402.77</v>
      </c>
      <c r="N210" s="6">
        <v>21616.69</v>
      </c>
      <c r="O210" s="6">
        <v>21325</v>
      </c>
      <c r="P210" s="37">
        <v>486800</v>
      </c>
    </row>
    <row r="211" spans="2:16" ht="15" thickBot="1">
      <c r="B211" s="9">
        <f t="shared" si="18"/>
        <v>7</v>
      </c>
      <c r="C211" s="15">
        <f t="shared" si="23"/>
        <v>3</v>
      </c>
      <c r="D211" s="25">
        <f t="shared" si="22"/>
        <v>42347</v>
      </c>
      <c r="E211" s="16">
        <f t="shared" si="19"/>
        <v>4.0593294468762586E-3</v>
      </c>
      <c r="F211" s="17">
        <f t="shared" si="20"/>
        <v>-1.7253194812526518E-3</v>
      </c>
      <c r="G211" s="18">
        <f t="shared" si="21"/>
        <v>-5.7846489281289104E-3</v>
      </c>
      <c r="J211" s="28"/>
      <c r="K211" s="8">
        <v>42347</v>
      </c>
      <c r="L211" s="7">
        <v>21500.880000000001</v>
      </c>
      <c r="M211" s="6">
        <v>21625.47</v>
      </c>
      <c r="N211" s="6">
        <v>21701.02</v>
      </c>
      <c r="O211" s="6">
        <v>21355.14</v>
      </c>
      <c r="P211" s="37">
        <v>574070</v>
      </c>
    </row>
    <row r="212" spans="2:16" ht="15" thickBot="1">
      <c r="B212" s="9">
        <f t="shared" si="18"/>
        <v>6</v>
      </c>
      <c r="C212" s="15">
        <f t="shared" si="23"/>
        <v>2</v>
      </c>
      <c r="D212" s="25">
        <f t="shared" si="22"/>
        <v>42346</v>
      </c>
      <c r="E212" s="16">
        <f t="shared" si="19"/>
        <v>-2.0633320884667627E-3</v>
      </c>
      <c r="F212" s="17">
        <f t="shared" si="20"/>
        <v>-2.2649459980569109E-2</v>
      </c>
      <c r="G212" s="18">
        <f t="shared" si="21"/>
        <v>-2.0586127892102346E-2</v>
      </c>
      <c r="J212" s="28"/>
      <c r="K212" s="8">
        <v>42346</v>
      </c>
      <c r="L212" s="7">
        <v>21538.04</v>
      </c>
      <c r="M212" s="6">
        <v>21991.7</v>
      </c>
      <c r="N212" s="6">
        <v>21998.36</v>
      </c>
      <c r="O212" s="6">
        <v>21443.61</v>
      </c>
      <c r="P212" s="37">
        <v>522010</v>
      </c>
    </row>
    <row r="213" spans="2:16" ht="15" thickBot="1">
      <c r="B213" s="9">
        <f t="shared" si="18"/>
        <v>5</v>
      </c>
      <c r="C213" s="15">
        <f t="shared" si="23"/>
        <v>1</v>
      </c>
      <c r="D213" s="25">
        <f t="shared" si="22"/>
        <v>42345</v>
      </c>
      <c r="E213" s="16">
        <f t="shared" si="19"/>
        <v>3.9765936345439457E-3</v>
      </c>
      <c r="F213" s="17">
        <f t="shared" si="20"/>
        <v>7.1793930983354848E-4</v>
      </c>
      <c r="G213" s="18">
        <f t="shared" si="21"/>
        <v>-3.2586543247103972E-3</v>
      </c>
      <c r="J213" s="28"/>
      <c r="K213" s="8">
        <v>42345</v>
      </c>
      <c r="L213" s="5">
        <v>22037.17</v>
      </c>
      <c r="M213" s="6">
        <v>22108.93</v>
      </c>
      <c r="N213" s="6">
        <v>22218.82</v>
      </c>
      <c r="O213" s="6">
        <v>21954.49</v>
      </c>
      <c r="P213" s="37">
        <v>409670</v>
      </c>
    </row>
    <row r="214" spans="2:16" ht="15" thickBot="1">
      <c r="B214" s="9">
        <f t="shared" si="18"/>
        <v>4</v>
      </c>
      <c r="C214" s="15">
        <f t="shared" si="23"/>
        <v>5</v>
      </c>
      <c r="D214" s="25">
        <f t="shared" si="22"/>
        <v>42342</v>
      </c>
      <c r="E214" s="16">
        <f t="shared" si="19"/>
        <v>-3.510684583493684E-3</v>
      </c>
      <c r="F214" s="17">
        <f t="shared" si="20"/>
        <v>1.166136487524172E-3</v>
      </c>
      <c r="G214" s="18">
        <f t="shared" si="21"/>
        <v>4.6768210710178559E-3</v>
      </c>
      <c r="J214" s="28"/>
      <c r="K214" s="8">
        <v>42342</v>
      </c>
      <c r="L214" s="5">
        <v>22021.360000000001</v>
      </c>
      <c r="M214" s="6">
        <v>21918.49</v>
      </c>
      <c r="N214" s="6">
        <v>22111.24</v>
      </c>
      <c r="O214" s="6">
        <v>21832.26</v>
      </c>
      <c r="P214" s="37">
        <v>570910</v>
      </c>
    </row>
    <row r="215" spans="2:16" ht="15" thickBot="1">
      <c r="B215" s="9">
        <f t="shared" si="18"/>
        <v>3</v>
      </c>
      <c r="C215" s="15">
        <f t="shared" si="23"/>
        <v>4</v>
      </c>
      <c r="D215" s="25">
        <f t="shared" si="22"/>
        <v>42341</v>
      </c>
      <c r="E215" s="16">
        <f t="shared" si="19"/>
        <v>5.8531627697977484E-5</v>
      </c>
      <c r="F215" s="17">
        <f t="shared" si="20"/>
        <v>-2.4663099489134255E-2</v>
      </c>
      <c r="G215" s="18">
        <f t="shared" si="21"/>
        <v>-2.4721631116832232E-2</v>
      </c>
      <c r="J215" s="28"/>
      <c r="K215" s="8">
        <v>42341</v>
      </c>
      <c r="L215" s="7">
        <v>21995.71</v>
      </c>
      <c r="M215" s="6">
        <v>22553.23</v>
      </c>
      <c r="N215" s="6">
        <v>22843.81</v>
      </c>
      <c r="O215" s="6">
        <v>21995.71</v>
      </c>
      <c r="P215" s="37">
        <v>858880</v>
      </c>
    </row>
    <row r="216" spans="2:16" ht="15" thickBot="1">
      <c r="B216" s="9">
        <f t="shared" si="18"/>
        <v>2</v>
      </c>
      <c r="C216" s="15">
        <f t="shared" si="23"/>
        <v>3</v>
      </c>
      <c r="D216" s="25">
        <f t="shared" si="22"/>
        <v>42340</v>
      </c>
      <c r="E216" s="16">
        <f t="shared" si="19"/>
        <v>4.2105580140761045E-3</v>
      </c>
      <c r="F216" s="17">
        <f t="shared" si="20"/>
        <v>-1.3028462008217723E-3</v>
      </c>
      <c r="G216" s="18">
        <f t="shared" si="21"/>
        <v>-5.5134042148978768E-3</v>
      </c>
      <c r="J216" s="28"/>
      <c r="K216" s="8">
        <v>42340</v>
      </c>
      <c r="L216" s="7">
        <v>22551.91</v>
      </c>
      <c r="M216" s="6">
        <v>22676.41</v>
      </c>
      <c r="N216" s="6">
        <v>22730.25</v>
      </c>
      <c r="O216" s="6">
        <v>22515.11</v>
      </c>
      <c r="P216" s="37">
        <v>464380</v>
      </c>
    </row>
    <row r="217" spans="2:16" ht="15" thickBot="1">
      <c r="B217" s="19">
        <v>1</v>
      </c>
      <c r="C217" s="15">
        <f t="shared" si="23"/>
        <v>2</v>
      </c>
      <c r="D217" s="25">
        <f t="shared" si="22"/>
        <v>42339</v>
      </c>
      <c r="E217" s="16">
        <f t="shared" si="19"/>
        <v>3.4100743111844523E-3</v>
      </c>
      <c r="F217" s="17">
        <f t="shared" si="20"/>
        <v>-6.01505943750269E-3</v>
      </c>
      <c r="G217" s="18">
        <f t="shared" si="21"/>
        <v>-9.4251337486871423E-3</v>
      </c>
      <c r="J217" s="28"/>
      <c r="K217" s="8">
        <v>42339</v>
      </c>
      <c r="L217" s="7">
        <v>22581.33</v>
      </c>
      <c r="M217" s="6">
        <v>22795.45</v>
      </c>
      <c r="N217" s="6">
        <v>22844.38</v>
      </c>
      <c r="O217" s="6">
        <v>22581.33</v>
      </c>
      <c r="P217" s="37">
        <v>433670</v>
      </c>
    </row>
    <row r="218" spans="2:16" ht="15" thickBot="1">
      <c r="B218" s="9">
        <f t="shared" si="18"/>
        <v>21</v>
      </c>
      <c r="C218" s="15">
        <f t="shared" si="23"/>
        <v>1</v>
      </c>
      <c r="D218" s="25">
        <f t="shared" si="22"/>
        <v>42338</v>
      </c>
      <c r="E218" s="16">
        <f t="shared" si="19"/>
        <v>-2.1944454042005512E-3</v>
      </c>
      <c r="F218" s="17">
        <f t="shared" si="20"/>
        <v>6.3255309592216147E-3</v>
      </c>
      <c r="G218" s="18">
        <f t="shared" si="21"/>
        <v>8.5199763634221659E-3</v>
      </c>
      <c r="J218" s="28"/>
      <c r="K218" s="8">
        <v>42338</v>
      </c>
      <c r="L218" s="5">
        <v>22717.98</v>
      </c>
      <c r="M218" s="6">
        <v>22525.64</v>
      </c>
      <c r="N218" s="6">
        <v>22773.09</v>
      </c>
      <c r="O218" s="6">
        <v>22505.79</v>
      </c>
      <c r="P218" s="37">
        <v>541520</v>
      </c>
    </row>
    <row r="219" spans="2:16" ht="15" thickBot="1">
      <c r="B219" s="9">
        <f t="shared" si="18"/>
        <v>20</v>
      </c>
      <c r="C219" s="15">
        <f t="shared" si="23"/>
        <v>5</v>
      </c>
      <c r="D219" s="25">
        <f t="shared" si="22"/>
        <v>42335</v>
      </c>
      <c r="E219" s="16">
        <f t="shared" si="19"/>
        <v>-4.8093245565925535E-3</v>
      </c>
      <c r="F219" s="17">
        <f t="shared" si="20"/>
        <v>-7.2372256327912776E-4</v>
      </c>
      <c r="G219" s="18">
        <f t="shared" si="21"/>
        <v>4.0856019933134258E-3</v>
      </c>
      <c r="J219" s="28"/>
      <c r="K219" s="8">
        <v>42335</v>
      </c>
      <c r="L219" s="7">
        <v>22575.18</v>
      </c>
      <c r="M219" s="6">
        <v>22482.880000000001</v>
      </c>
      <c r="N219" s="6">
        <v>22707.68</v>
      </c>
      <c r="O219" s="6">
        <v>22432.560000000001</v>
      </c>
      <c r="P219" s="37">
        <v>501390</v>
      </c>
    </row>
    <row r="220" spans="2:16" ht="15" thickBot="1">
      <c r="B220" s="9">
        <f t="shared" si="18"/>
        <v>19</v>
      </c>
      <c r="C220" s="15">
        <f t="shared" si="23"/>
        <v>4</v>
      </c>
      <c r="D220" s="25">
        <f t="shared" si="22"/>
        <v>42334</v>
      </c>
      <c r="E220" s="16">
        <f t="shared" si="19"/>
        <v>-2.1244023161803849E-4</v>
      </c>
      <c r="F220" s="17">
        <f t="shared" si="20"/>
        <v>1.0389445432602118E-2</v>
      </c>
      <c r="G220" s="18">
        <f t="shared" si="21"/>
        <v>1.0601885664220156E-2</v>
      </c>
      <c r="J220" s="28"/>
      <c r="K220" s="8">
        <v>42334</v>
      </c>
      <c r="L220" s="5">
        <v>22591.53</v>
      </c>
      <c r="M220" s="6">
        <v>22354.48</v>
      </c>
      <c r="N220" s="6">
        <v>22597.95</v>
      </c>
      <c r="O220" s="6">
        <v>22339.31</v>
      </c>
      <c r="P220" s="37">
        <v>414820</v>
      </c>
    </row>
    <row r="221" spans="2:16" ht="15" thickBot="1">
      <c r="B221" s="9">
        <f t="shared" si="18"/>
        <v>18</v>
      </c>
      <c r="C221" s="15">
        <f t="shared" si="23"/>
        <v>3</v>
      </c>
      <c r="D221" s="25">
        <f t="shared" si="22"/>
        <v>42333</v>
      </c>
      <c r="E221" s="16">
        <f t="shared" si="19"/>
        <v>3.5378852148748585E-3</v>
      </c>
      <c r="F221" s="17">
        <f t="shared" si="20"/>
        <v>1.8730060952773187E-2</v>
      </c>
      <c r="G221" s="18">
        <f t="shared" si="21"/>
        <v>1.5192175737898328E-2</v>
      </c>
      <c r="J221" s="28"/>
      <c r="K221" s="8">
        <v>42333</v>
      </c>
      <c r="L221" s="5">
        <v>22359.23</v>
      </c>
      <c r="M221" s="6">
        <v>22025.79</v>
      </c>
      <c r="N221" s="6">
        <v>22400.400000000001</v>
      </c>
      <c r="O221" s="6">
        <v>21944.09</v>
      </c>
      <c r="P221" s="37">
        <v>522730</v>
      </c>
    </row>
    <row r="222" spans="2:16" ht="15" thickBot="1">
      <c r="B222" s="9">
        <f t="shared" si="18"/>
        <v>17</v>
      </c>
      <c r="C222" s="15">
        <f t="shared" si="23"/>
        <v>2</v>
      </c>
      <c r="D222" s="25">
        <f t="shared" si="22"/>
        <v>42332</v>
      </c>
      <c r="E222" s="16">
        <f t="shared" si="19"/>
        <v>-4.4979320187901184E-3</v>
      </c>
      <c r="F222" s="17">
        <f t="shared" si="20"/>
        <v>-1.5544060042996799E-2</v>
      </c>
      <c r="G222" s="18">
        <f t="shared" si="21"/>
        <v>-1.1046128024206681E-2</v>
      </c>
      <c r="J222" s="28"/>
      <c r="K222" s="8">
        <v>42332</v>
      </c>
      <c r="L222" s="7">
        <v>21948.14</v>
      </c>
      <c r="M222" s="6">
        <v>22194.41</v>
      </c>
      <c r="N222" s="6">
        <v>22229.119999999999</v>
      </c>
      <c r="O222" s="6">
        <v>21840.84</v>
      </c>
      <c r="P222" s="37">
        <v>489080</v>
      </c>
    </row>
    <row r="223" spans="2:16" ht="15" thickBot="1">
      <c r="B223" s="9">
        <f t="shared" si="18"/>
        <v>16</v>
      </c>
      <c r="C223" s="15">
        <f t="shared" si="23"/>
        <v>1</v>
      </c>
      <c r="D223" s="25">
        <f t="shared" si="22"/>
        <v>42331</v>
      </c>
      <c r="E223" s="16">
        <f t="shared" si="19"/>
        <v>-2.8021503025726924E-3</v>
      </c>
      <c r="F223" s="17">
        <f t="shared" si="20"/>
        <v>6.9805339984299053E-3</v>
      </c>
      <c r="G223" s="18">
        <f t="shared" si="21"/>
        <v>9.7826843010025977E-3</v>
      </c>
      <c r="J223" s="28"/>
      <c r="K223" s="8">
        <v>42331</v>
      </c>
      <c r="L223" s="5">
        <v>22294.69</v>
      </c>
      <c r="M223" s="6">
        <v>22078.1</v>
      </c>
      <c r="N223" s="6">
        <v>22390.39</v>
      </c>
      <c r="O223" s="6">
        <v>21995.27</v>
      </c>
      <c r="P223" s="37">
        <v>463190</v>
      </c>
    </row>
    <row r="224" spans="2:16" ht="15" thickBot="1">
      <c r="B224" s="9">
        <f t="shared" si="18"/>
        <v>15</v>
      </c>
      <c r="C224" s="15">
        <f t="shared" si="23"/>
        <v>5</v>
      </c>
      <c r="D224" s="25">
        <f t="shared" si="22"/>
        <v>42328</v>
      </c>
      <c r="E224" s="16">
        <f t="shared" si="19"/>
        <v>1.3613019832832141E-3</v>
      </c>
      <c r="F224" s="17">
        <f t="shared" si="20"/>
        <v>-2.3364285942811813E-3</v>
      </c>
      <c r="G224" s="18">
        <f t="shared" si="21"/>
        <v>-3.6977305775643954E-3</v>
      </c>
      <c r="J224" s="28"/>
      <c r="K224" s="8">
        <v>42328</v>
      </c>
      <c r="L224" s="7">
        <v>22140.14</v>
      </c>
      <c r="M224" s="6">
        <v>22222.2</v>
      </c>
      <c r="N224" s="6">
        <v>22246.61</v>
      </c>
      <c r="O224" s="6">
        <v>21946.45</v>
      </c>
      <c r="P224" s="37">
        <v>581640</v>
      </c>
    </row>
    <row r="225" spans="2:16" ht="15" thickBot="1">
      <c r="B225" s="9">
        <f t="shared" si="18"/>
        <v>14</v>
      </c>
      <c r="C225" s="15">
        <f t="shared" si="23"/>
        <v>4</v>
      </c>
      <c r="D225" s="25">
        <f t="shared" si="22"/>
        <v>42327</v>
      </c>
      <c r="E225" s="16">
        <f t="shared" si="19"/>
        <v>7.1488840081914695E-3</v>
      </c>
      <c r="F225" s="17">
        <f t="shared" si="20"/>
        <v>4.546080041427647E-3</v>
      </c>
      <c r="G225" s="18">
        <f t="shared" si="21"/>
        <v>-2.6028039667638225E-3</v>
      </c>
      <c r="J225" s="28"/>
      <c r="K225" s="8">
        <v>42327</v>
      </c>
      <c r="L225" s="5">
        <v>22191.99</v>
      </c>
      <c r="M225" s="6">
        <v>22249.49</v>
      </c>
      <c r="N225" s="6">
        <v>22321.42</v>
      </c>
      <c r="O225" s="6">
        <v>22095.52</v>
      </c>
      <c r="P225" s="37">
        <v>532440</v>
      </c>
    </row>
    <row r="226" spans="2:16" ht="15" thickBot="1">
      <c r="B226" s="9">
        <f t="shared" si="18"/>
        <v>13</v>
      </c>
      <c r="C226" s="15">
        <f t="shared" si="23"/>
        <v>3</v>
      </c>
      <c r="D226" s="25">
        <f t="shared" si="22"/>
        <v>42326</v>
      </c>
      <c r="E226" s="16">
        <f t="shared" si="19"/>
        <v>-5.0261347351945318E-3</v>
      </c>
      <c r="F226" s="17">
        <f t="shared" si="20"/>
        <v>-9.7640500255721241E-3</v>
      </c>
      <c r="G226" s="18">
        <f t="shared" si="21"/>
        <v>-4.7379152903775923E-3</v>
      </c>
      <c r="J226" s="28"/>
      <c r="K226" s="8">
        <v>42326</v>
      </c>
      <c r="L226" s="7">
        <v>22091.56</v>
      </c>
      <c r="M226" s="6">
        <v>22197.26</v>
      </c>
      <c r="N226" s="6">
        <v>22205</v>
      </c>
      <c r="O226" s="6">
        <v>22054.51</v>
      </c>
      <c r="P226" s="37">
        <v>532930</v>
      </c>
    </row>
    <row r="227" spans="2:16" ht="15" thickBot="1">
      <c r="B227" s="9">
        <f t="shared" si="18"/>
        <v>12</v>
      </c>
      <c r="C227" s="15">
        <f t="shared" si="23"/>
        <v>2</v>
      </c>
      <c r="D227" s="25">
        <f t="shared" si="22"/>
        <v>42325</v>
      </c>
      <c r="E227" s="16">
        <f t="shared" si="19"/>
        <v>9.3763066585486055E-3</v>
      </c>
      <c r="F227" s="17">
        <f t="shared" si="20"/>
        <v>2.2833514278797873E-2</v>
      </c>
      <c r="G227" s="18">
        <f t="shared" si="21"/>
        <v>1.3457207620249267E-2</v>
      </c>
      <c r="J227" s="28"/>
      <c r="K227" s="8">
        <v>42325</v>
      </c>
      <c r="L227" s="5">
        <v>22309.39</v>
      </c>
      <c r="M227" s="6">
        <v>22015.87</v>
      </c>
      <c r="N227" s="6">
        <v>22309.39</v>
      </c>
      <c r="O227" s="6">
        <v>21974.44</v>
      </c>
      <c r="P227" s="37">
        <v>548750</v>
      </c>
    </row>
    <row r="228" spans="2:16" ht="15" thickBot="1">
      <c r="B228" s="9">
        <f t="shared" si="18"/>
        <v>11</v>
      </c>
      <c r="C228" s="15">
        <f t="shared" si="23"/>
        <v>1</v>
      </c>
      <c r="D228" s="25">
        <f t="shared" si="22"/>
        <v>42324</v>
      </c>
      <c r="E228" s="16">
        <f t="shared" si="19"/>
        <v>-1.0784907996132298E-2</v>
      </c>
      <c r="F228" s="17">
        <f t="shared" si="20"/>
        <v>-1.4284039966011575E-3</v>
      </c>
      <c r="G228" s="18">
        <f t="shared" si="21"/>
        <v>9.3565039995311405E-3</v>
      </c>
      <c r="J228" s="28"/>
      <c r="K228" s="8">
        <v>42324</v>
      </c>
      <c r="L228" s="7">
        <v>21811.360000000001</v>
      </c>
      <c r="M228" s="6">
        <v>21606.99</v>
      </c>
      <c r="N228" s="6">
        <v>21924.720000000001</v>
      </c>
      <c r="O228" s="6">
        <v>21572.63</v>
      </c>
      <c r="P228" s="37">
        <v>417760</v>
      </c>
    </row>
    <row r="229" spans="2:16" ht="15" thickBot="1">
      <c r="B229" s="9">
        <f t="shared" si="18"/>
        <v>10</v>
      </c>
      <c r="C229" s="15">
        <f t="shared" si="23"/>
        <v>5</v>
      </c>
      <c r="D229" s="25">
        <f t="shared" si="22"/>
        <v>42321</v>
      </c>
      <c r="E229" s="16">
        <f t="shared" si="19"/>
        <v>-1.8376626139275931E-3</v>
      </c>
      <c r="F229" s="17">
        <f t="shared" si="20"/>
        <v>-7.6534965225305562E-4</v>
      </c>
      <c r="G229" s="18">
        <f t="shared" si="21"/>
        <v>1.0723129616745375E-3</v>
      </c>
      <c r="J229" s="28"/>
      <c r="K229" s="8">
        <v>42321</v>
      </c>
      <c r="L229" s="7">
        <v>21842.560000000001</v>
      </c>
      <c r="M229" s="6">
        <v>21819.119999999999</v>
      </c>
      <c r="N229" s="6">
        <v>21986.75</v>
      </c>
      <c r="O229" s="6">
        <v>21655.21</v>
      </c>
      <c r="P229" s="37">
        <v>530970</v>
      </c>
    </row>
    <row r="230" spans="2:16" ht="15" thickBot="1">
      <c r="B230" s="9">
        <f t="shared" si="18"/>
        <v>9</v>
      </c>
      <c r="C230" s="15">
        <f t="shared" si="23"/>
        <v>4</v>
      </c>
      <c r="D230" s="25">
        <f t="shared" si="22"/>
        <v>42320</v>
      </c>
      <c r="E230" s="16">
        <f t="shared" si="19"/>
        <v>-1.7712667036258178E-3</v>
      </c>
      <c r="F230" s="17">
        <f t="shared" si="20"/>
        <v>-2.3489721515775441E-2</v>
      </c>
      <c r="G230" s="18">
        <f t="shared" si="21"/>
        <v>-2.1718454812149623E-2</v>
      </c>
      <c r="J230" s="28"/>
      <c r="K230" s="8">
        <v>42320</v>
      </c>
      <c r="L230" s="7">
        <v>21859.29</v>
      </c>
      <c r="M230" s="6">
        <v>22345.46</v>
      </c>
      <c r="N230" s="6">
        <v>22367.15</v>
      </c>
      <c r="O230" s="6">
        <v>21810.67</v>
      </c>
      <c r="P230" s="37">
        <v>683610</v>
      </c>
    </row>
    <row r="231" spans="2:16" ht="15" thickBot="1">
      <c r="B231" s="9">
        <f t="shared" si="18"/>
        <v>8</v>
      </c>
      <c r="C231" s="15">
        <f t="shared" si="23"/>
        <v>3</v>
      </c>
      <c r="D231" s="25">
        <f t="shared" si="22"/>
        <v>42319</v>
      </c>
      <c r="E231" s="16">
        <f t="shared" si="19"/>
        <v>8.6481910532887341E-4</v>
      </c>
      <c r="F231" s="17">
        <f t="shared" si="20"/>
        <v>-2.6238638388879076E-3</v>
      </c>
      <c r="G231" s="18">
        <f t="shared" si="21"/>
        <v>-3.488682944216781E-3</v>
      </c>
      <c r="J231" s="28"/>
      <c r="K231" s="8">
        <v>42319</v>
      </c>
      <c r="L231" s="7">
        <v>22385.11</v>
      </c>
      <c r="M231" s="6">
        <v>22463.41</v>
      </c>
      <c r="N231" s="6">
        <v>22658.94</v>
      </c>
      <c r="O231" s="6">
        <v>22316.83</v>
      </c>
      <c r="P231" s="37">
        <v>620360</v>
      </c>
    </row>
    <row r="232" spans="2:16" ht="15" thickBot="1">
      <c r="B232" s="9">
        <f t="shared" si="18"/>
        <v>7</v>
      </c>
      <c r="C232" s="15">
        <f t="shared" si="23"/>
        <v>2</v>
      </c>
      <c r="D232" s="25">
        <f t="shared" si="22"/>
        <v>42318</v>
      </c>
      <c r="E232" s="16">
        <f t="shared" si="19"/>
        <v>6.6462209315474308E-3</v>
      </c>
      <c r="F232" s="17">
        <f t="shared" si="20"/>
        <v>1.5230263306690528E-2</v>
      </c>
      <c r="G232" s="18">
        <f t="shared" si="21"/>
        <v>8.5840423751430972E-3</v>
      </c>
      <c r="J232" s="28"/>
      <c r="K232" s="8">
        <v>42318</v>
      </c>
      <c r="L232" s="5">
        <v>22444</v>
      </c>
      <c r="M232" s="6">
        <v>22254.23</v>
      </c>
      <c r="N232" s="6">
        <v>22444</v>
      </c>
      <c r="O232" s="6">
        <v>22125.52</v>
      </c>
      <c r="P232" s="37">
        <v>575880</v>
      </c>
    </row>
    <row r="233" spans="2:16" ht="15" thickBot="1">
      <c r="B233" s="9">
        <f t="shared" si="18"/>
        <v>6</v>
      </c>
      <c r="C233" s="15">
        <f t="shared" si="23"/>
        <v>1</v>
      </c>
      <c r="D233" s="25">
        <f t="shared" si="22"/>
        <v>42317</v>
      </c>
      <c r="E233" s="16">
        <f t="shared" si="19"/>
        <v>-9.2010897499061883E-4</v>
      </c>
      <c r="F233" s="17">
        <f t="shared" si="20"/>
        <v>-1.8759037973469894E-2</v>
      </c>
      <c r="G233" s="18">
        <f t="shared" si="21"/>
        <v>-1.7838928998479275E-2</v>
      </c>
      <c r="J233" s="28"/>
      <c r="K233" s="8">
        <v>42317</v>
      </c>
      <c r="L233" s="7">
        <v>22107.3</v>
      </c>
      <c r="M233" s="6">
        <v>22509.21</v>
      </c>
      <c r="N233" s="6">
        <v>22570.52</v>
      </c>
      <c r="O233" s="6">
        <v>22107.3</v>
      </c>
      <c r="P233" s="37">
        <v>491650</v>
      </c>
    </row>
    <row r="234" spans="2:16" ht="15" thickBot="1">
      <c r="B234" s="9">
        <f t="shared" si="18"/>
        <v>5</v>
      </c>
      <c r="C234" s="15">
        <f t="shared" si="23"/>
        <v>5</v>
      </c>
      <c r="D234" s="25">
        <f t="shared" si="22"/>
        <v>42314</v>
      </c>
      <c r="E234" s="16">
        <f t="shared" si="19"/>
        <v>-1.5118994586860168E-4</v>
      </c>
      <c r="F234" s="17">
        <f t="shared" si="20"/>
        <v>1.3779883637738077E-2</v>
      </c>
      <c r="G234" s="18">
        <f t="shared" si="21"/>
        <v>1.3931073583606679E-2</v>
      </c>
      <c r="J234" s="28"/>
      <c r="K234" s="8">
        <v>42314</v>
      </c>
      <c r="L234" s="5">
        <v>22529.94</v>
      </c>
      <c r="M234" s="6">
        <v>22220.34</v>
      </c>
      <c r="N234" s="6">
        <v>22529.94</v>
      </c>
      <c r="O234" s="6">
        <v>22166.83</v>
      </c>
      <c r="P234" s="37">
        <v>946620</v>
      </c>
    </row>
    <row r="235" spans="2:16" ht="15" thickBot="1">
      <c r="B235" s="9">
        <f t="shared" si="18"/>
        <v>4</v>
      </c>
      <c r="C235" s="15">
        <f t="shared" si="23"/>
        <v>4</v>
      </c>
      <c r="D235" s="25">
        <f t="shared" si="22"/>
        <v>42313</v>
      </c>
      <c r="E235" s="16">
        <f t="shared" si="19"/>
        <v>3.4868144185606909E-4</v>
      </c>
      <c r="F235" s="17">
        <f t="shared" si="20"/>
        <v>-3.9856350416781483E-3</v>
      </c>
      <c r="G235" s="18">
        <f t="shared" si="21"/>
        <v>-4.3343164835342174E-3</v>
      </c>
      <c r="J235" s="28"/>
      <c r="K235" s="8">
        <v>42313</v>
      </c>
      <c r="L235" s="7">
        <v>22223.7</v>
      </c>
      <c r="M235" s="6">
        <v>22320.41</v>
      </c>
      <c r="N235" s="6">
        <v>22442.87</v>
      </c>
      <c r="O235" s="6">
        <v>22132.7</v>
      </c>
      <c r="P235" s="37">
        <v>517520</v>
      </c>
    </row>
    <row r="236" spans="2:16" ht="15" thickBot="1">
      <c r="B236" s="9">
        <f t="shared" si="18"/>
        <v>3</v>
      </c>
      <c r="C236" s="15">
        <f t="shared" si="23"/>
        <v>3</v>
      </c>
      <c r="D236" s="25">
        <f t="shared" si="22"/>
        <v>42312</v>
      </c>
      <c r="E236" s="16">
        <f t="shared" si="19"/>
        <v>4.3847912571322034E-3</v>
      </c>
      <c r="F236" s="17">
        <f t="shared" si="20"/>
        <v>-6.5371146666547419E-3</v>
      </c>
      <c r="G236" s="18">
        <f t="shared" si="21"/>
        <v>-1.0921905923786945E-2</v>
      </c>
      <c r="J236" s="28"/>
      <c r="K236" s="8">
        <v>42312</v>
      </c>
      <c r="L236" s="7">
        <v>22312.63</v>
      </c>
      <c r="M236" s="6">
        <v>22557.93</v>
      </c>
      <c r="N236" s="6">
        <v>22660.639999999999</v>
      </c>
      <c r="O236" s="6">
        <v>22303.07</v>
      </c>
      <c r="P236" s="37">
        <v>582310</v>
      </c>
    </row>
    <row r="237" spans="2:16" ht="15" thickBot="1">
      <c r="B237" s="9">
        <f t="shared" si="18"/>
        <v>2</v>
      </c>
      <c r="C237" s="15">
        <f t="shared" si="23"/>
        <v>2</v>
      </c>
      <c r="D237" s="25">
        <f t="shared" si="22"/>
        <v>42311</v>
      </c>
      <c r="E237" s="16">
        <f t="shared" si="19"/>
        <v>1.5567739906656719E-3</v>
      </c>
      <c r="F237" s="17">
        <f t="shared" si="20"/>
        <v>-1.0203541527390447E-3</v>
      </c>
      <c r="G237" s="18">
        <f t="shared" si="21"/>
        <v>-2.5771281434047166E-3</v>
      </c>
      <c r="J237" s="28"/>
      <c r="K237" s="8">
        <v>42311</v>
      </c>
      <c r="L237" s="7">
        <v>22459.45</v>
      </c>
      <c r="M237" s="6">
        <v>22517.39</v>
      </c>
      <c r="N237" s="6">
        <v>22636.240000000002</v>
      </c>
      <c r="O237" s="6">
        <v>22165.919999999998</v>
      </c>
      <c r="P237" s="37">
        <v>616100</v>
      </c>
    </row>
    <row r="238" spans="2:16" ht="15" thickBot="1">
      <c r="B238" s="19">
        <v>1</v>
      </c>
      <c r="C238" s="15">
        <f t="shared" si="23"/>
        <v>1</v>
      </c>
      <c r="D238" s="25">
        <f t="shared" si="22"/>
        <v>42310</v>
      </c>
      <c r="E238" s="16">
        <f t="shared" si="19"/>
        <v>-4.4968232162979627E-3</v>
      </c>
      <c r="F238" s="17">
        <f t="shared" si="20"/>
        <v>1.7769848381488096E-3</v>
      </c>
      <c r="G238" s="18">
        <f t="shared" si="21"/>
        <v>6.2738080544467723E-3</v>
      </c>
      <c r="J238" s="28"/>
      <c r="K238" s="8">
        <v>42310</v>
      </c>
      <c r="L238" s="5">
        <v>22482.39</v>
      </c>
      <c r="M238" s="6">
        <v>22341.59</v>
      </c>
      <c r="N238" s="6">
        <v>22622.53</v>
      </c>
      <c r="O238" s="6">
        <v>22263.5</v>
      </c>
      <c r="P238" s="37">
        <v>521210</v>
      </c>
    </row>
    <row r="239" spans="2:16" ht="15" thickBot="1">
      <c r="B239" s="9">
        <f t="shared" si="18"/>
        <v>22</v>
      </c>
      <c r="C239" s="15">
        <f t="shared" si="23"/>
        <v>5</v>
      </c>
      <c r="D239" s="25">
        <f t="shared" si="22"/>
        <v>42307</v>
      </c>
      <c r="E239" s="16">
        <f t="shared" si="19"/>
        <v>4.3212288722964676E-3</v>
      </c>
      <c r="F239" s="17">
        <f t="shared" si="20"/>
        <v>-8.0204289236718296E-6</v>
      </c>
      <c r="G239" s="18">
        <f t="shared" si="21"/>
        <v>-4.3292493012201394E-3</v>
      </c>
      <c r="J239" s="28"/>
      <c r="K239" s="8">
        <v>42307</v>
      </c>
      <c r="L239" s="7">
        <v>22442.51</v>
      </c>
      <c r="M239" s="6">
        <v>22539.67</v>
      </c>
      <c r="N239" s="6">
        <v>22584.25</v>
      </c>
      <c r="O239" s="6">
        <v>22336.98</v>
      </c>
      <c r="P239" s="37">
        <v>699450</v>
      </c>
    </row>
    <row r="240" spans="2:16" ht="15" thickBot="1">
      <c r="B240" s="9">
        <f t="shared" si="18"/>
        <v>21</v>
      </c>
      <c r="C240" s="15">
        <f t="shared" si="23"/>
        <v>4</v>
      </c>
      <c r="D240" s="25">
        <f t="shared" si="22"/>
        <v>42306</v>
      </c>
      <c r="E240" s="16">
        <f t="shared" si="19"/>
        <v>7.0174696203495479E-4</v>
      </c>
      <c r="F240" s="17">
        <f t="shared" si="20"/>
        <v>-1.0735582449978631E-2</v>
      </c>
      <c r="G240" s="18">
        <f t="shared" si="21"/>
        <v>-1.1437329412013586E-2</v>
      </c>
      <c r="J240" s="28"/>
      <c r="K240" s="8">
        <v>42306</v>
      </c>
      <c r="L240" s="7">
        <v>22442.69</v>
      </c>
      <c r="M240" s="6">
        <v>22702.16</v>
      </c>
      <c r="N240" s="6">
        <v>22712.6</v>
      </c>
      <c r="O240" s="6">
        <v>22209.45</v>
      </c>
      <c r="P240" s="37">
        <v>813940</v>
      </c>
    </row>
    <row r="241" spans="2:16" ht="15" thickBot="1">
      <c r="B241" s="9">
        <f t="shared" si="18"/>
        <v>20</v>
      </c>
      <c r="C241" s="15">
        <f t="shared" si="23"/>
        <v>3</v>
      </c>
      <c r="D241" s="25">
        <f t="shared" si="22"/>
        <v>42305</v>
      </c>
      <c r="E241" s="16">
        <f t="shared" si="19"/>
        <v>5.3335014161874916E-3</v>
      </c>
      <c r="F241" s="17">
        <f t="shared" si="20"/>
        <v>1.4140417131576877E-2</v>
      </c>
      <c r="G241" s="18">
        <f t="shared" si="21"/>
        <v>8.8069157153893851E-3</v>
      </c>
      <c r="J241" s="28"/>
      <c r="K241" s="8">
        <v>42305</v>
      </c>
      <c r="L241" s="5">
        <v>22686.240000000002</v>
      </c>
      <c r="M241" s="6">
        <v>22489.23</v>
      </c>
      <c r="N241" s="6">
        <v>22697.27</v>
      </c>
      <c r="O241" s="6">
        <v>22456.18</v>
      </c>
      <c r="P241" s="37">
        <v>528910</v>
      </c>
    </row>
    <row r="242" spans="2:16" ht="15" thickBot="1">
      <c r="B242" s="9">
        <f t="shared" si="18"/>
        <v>19</v>
      </c>
      <c r="C242" s="15">
        <f t="shared" si="23"/>
        <v>2</v>
      </c>
      <c r="D242" s="25">
        <f t="shared" si="22"/>
        <v>42304</v>
      </c>
      <c r="E242" s="16">
        <f t="shared" si="19"/>
        <v>-2.511750076448438E-3</v>
      </c>
      <c r="F242" s="17">
        <f t="shared" si="20"/>
        <v>-1.1476983283870257E-2</v>
      </c>
      <c r="G242" s="18">
        <f t="shared" si="21"/>
        <v>-8.9652332074218188E-3</v>
      </c>
      <c r="J242" s="28"/>
      <c r="K242" s="8">
        <v>42304</v>
      </c>
      <c r="L242" s="7">
        <v>22369.919999999998</v>
      </c>
      <c r="M242" s="6">
        <v>22572.799999999999</v>
      </c>
      <c r="N242" s="6">
        <v>22731.200000000001</v>
      </c>
      <c r="O242" s="6">
        <v>22369.919999999998</v>
      </c>
      <c r="P242" s="37">
        <v>516370</v>
      </c>
    </row>
    <row r="243" spans="2:16" ht="15" thickBot="1">
      <c r="B243" s="9">
        <f t="shared" si="18"/>
        <v>18</v>
      </c>
      <c r="C243" s="15">
        <f t="shared" si="23"/>
        <v>1</v>
      </c>
      <c r="D243" s="25">
        <f t="shared" si="22"/>
        <v>42303</v>
      </c>
      <c r="E243" s="16">
        <f t="shared" si="19"/>
        <v>-1.0058556898357995E-3</v>
      </c>
      <c r="F243" s="17">
        <f t="shared" si="20"/>
        <v>-4.7156907330212494E-3</v>
      </c>
      <c r="G243" s="18">
        <f t="shared" si="21"/>
        <v>-3.7098350431854499E-3</v>
      </c>
      <c r="J243" s="28"/>
      <c r="K243" s="8">
        <v>42303</v>
      </c>
      <c r="L243" s="7">
        <v>22629.64</v>
      </c>
      <c r="M243" s="6">
        <v>22713.99</v>
      </c>
      <c r="N243" s="6">
        <v>22740.84</v>
      </c>
      <c r="O243" s="6">
        <v>22548.68</v>
      </c>
      <c r="P243" s="37">
        <v>464210</v>
      </c>
    </row>
    <row r="244" spans="2:16" ht="15" thickBot="1">
      <c r="B244" s="9">
        <f t="shared" si="18"/>
        <v>17</v>
      </c>
      <c r="C244" s="15">
        <f t="shared" si="23"/>
        <v>5</v>
      </c>
      <c r="D244" s="25">
        <f t="shared" si="22"/>
        <v>42300</v>
      </c>
      <c r="E244" s="16">
        <f t="shared" si="19"/>
        <v>4.4334104143359809E-3</v>
      </c>
      <c r="F244" s="17">
        <f t="shared" si="20"/>
        <v>5.3039983375262612E-3</v>
      </c>
      <c r="G244" s="18">
        <f t="shared" si="21"/>
        <v>8.7058792319028022E-4</v>
      </c>
      <c r="J244" s="28"/>
      <c r="K244" s="8">
        <v>42300</v>
      </c>
      <c r="L244" s="5">
        <v>22736.86</v>
      </c>
      <c r="M244" s="6">
        <v>22717.17</v>
      </c>
      <c r="N244" s="6">
        <v>22874.959999999999</v>
      </c>
      <c r="O244" s="6">
        <v>22637.87</v>
      </c>
      <c r="P244" s="37">
        <v>751830</v>
      </c>
    </row>
    <row r="245" spans="2:16" ht="15" thickBot="1">
      <c r="B245" s="9">
        <f t="shared" si="18"/>
        <v>16</v>
      </c>
      <c r="C245" s="15">
        <f t="shared" si="23"/>
        <v>4</v>
      </c>
      <c r="D245" s="25">
        <f t="shared" si="22"/>
        <v>42299</v>
      </c>
      <c r="E245" s="16">
        <f t="shared" si="19"/>
        <v>-2.1909885336161006E-3</v>
      </c>
      <c r="F245" s="17">
        <f t="shared" si="20"/>
        <v>2.0036405227343401E-2</v>
      </c>
      <c r="G245" s="18">
        <f t="shared" si="21"/>
        <v>2.2227393760959502E-2</v>
      </c>
      <c r="J245" s="28"/>
      <c r="K245" s="8">
        <v>42299</v>
      </c>
      <c r="L245" s="5">
        <v>22616.9</v>
      </c>
      <c r="M245" s="6">
        <v>22124.06</v>
      </c>
      <c r="N245" s="6">
        <v>22616.9</v>
      </c>
      <c r="O245" s="6">
        <v>22103.13</v>
      </c>
      <c r="P245" s="37">
        <v>826230</v>
      </c>
    </row>
    <row r="246" spans="2:16" ht="15" thickBot="1">
      <c r="B246" s="9">
        <f t="shared" si="18"/>
        <v>15</v>
      </c>
      <c r="C246" s="15">
        <f t="shared" si="23"/>
        <v>3</v>
      </c>
      <c r="D246" s="25">
        <f t="shared" si="22"/>
        <v>42298</v>
      </c>
      <c r="E246" s="16">
        <f t="shared" si="19"/>
        <v>3.3035310557514297E-3</v>
      </c>
      <c r="F246" s="17">
        <f t="shared" si="20"/>
        <v>-4.3767183907039708E-3</v>
      </c>
      <c r="G246" s="18">
        <f t="shared" si="21"/>
        <v>-7.6802494464554005E-3</v>
      </c>
      <c r="J246" s="28"/>
      <c r="K246" s="8">
        <v>42298</v>
      </c>
      <c r="L246" s="7">
        <v>22172.639999999999</v>
      </c>
      <c r="M246" s="6">
        <v>22343.68</v>
      </c>
      <c r="N246" s="6">
        <v>22388.15</v>
      </c>
      <c r="O246" s="6">
        <v>22097.39</v>
      </c>
      <c r="P246" s="37">
        <v>442890</v>
      </c>
    </row>
    <row r="247" spans="2:16" ht="15" thickBot="1">
      <c r="B247" s="9">
        <f t="shared" si="18"/>
        <v>14</v>
      </c>
      <c r="C247" s="15">
        <f t="shared" si="23"/>
        <v>2</v>
      </c>
      <c r="D247" s="25">
        <f t="shared" si="22"/>
        <v>42297</v>
      </c>
      <c r="E247" s="16">
        <f t="shared" si="19"/>
        <v>2.0838834452587829E-3</v>
      </c>
      <c r="F247" s="17">
        <f t="shared" si="20"/>
        <v>-6.6713708670239624E-3</v>
      </c>
      <c r="G247" s="18">
        <f t="shared" si="21"/>
        <v>-8.7552543122827453E-3</v>
      </c>
      <c r="J247" s="28"/>
      <c r="K247" s="8">
        <v>42297</v>
      </c>
      <c r="L247" s="7">
        <v>22270.11</v>
      </c>
      <c r="M247" s="6">
        <v>22466.400000000001</v>
      </c>
      <c r="N247" s="6">
        <v>22536.84</v>
      </c>
      <c r="O247" s="6">
        <v>22119.759999999998</v>
      </c>
      <c r="P247" s="37">
        <v>524980</v>
      </c>
    </row>
    <row r="248" spans="2:16" ht="15" thickBot="1">
      <c r="B248" s="9">
        <f t="shared" si="18"/>
        <v>13</v>
      </c>
      <c r="C248" s="15">
        <f t="shared" si="23"/>
        <v>1</v>
      </c>
      <c r="D248" s="25">
        <f t="shared" si="22"/>
        <v>42296</v>
      </c>
      <c r="E248" s="16">
        <f t="shared" si="19"/>
        <v>3.0620933437064402E-4</v>
      </c>
      <c r="F248" s="17">
        <f t="shared" si="20"/>
        <v>3.6718259656562946E-3</v>
      </c>
      <c r="G248" s="18">
        <f t="shared" si="21"/>
        <v>3.3656166312856506E-3</v>
      </c>
      <c r="J248" s="28"/>
      <c r="K248" s="8">
        <v>42296</v>
      </c>
      <c r="L248" s="5">
        <v>22419.68</v>
      </c>
      <c r="M248" s="6">
        <v>22344.5</v>
      </c>
      <c r="N248" s="6">
        <v>22532.75</v>
      </c>
      <c r="O248" s="6">
        <v>22299.23</v>
      </c>
      <c r="P248" s="37">
        <v>431420</v>
      </c>
    </row>
    <row r="249" spans="2:16" ht="15" thickBot="1">
      <c r="B249" s="9">
        <f t="shared" si="18"/>
        <v>12</v>
      </c>
      <c r="C249" s="15">
        <f t="shared" si="23"/>
        <v>5</v>
      </c>
      <c r="D249" s="25">
        <f t="shared" si="22"/>
        <v>42293</v>
      </c>
      <c r="E249" s="16">
        <f t="shared" si="19"/>
        <v>6.3440438677468958E-3</v>
      </c>
      <c r="F249" s="17">
        <f t="shared" si="20"/>
        <v>5.3997512792733904E-3</v>
      </c>
      <c r="G249" s="18">
        <f t="shared" si="21"/>
        <v>-9.4429258847350539E-4</v>
      </c>
      <c r="J249" s="28"/>
      <c r="K249" s="8">
        <v>42293</v>
      </c>
      <c r="L249" s="5">
        <v>22337.66</v>
      </c>
      <c r="M249" s="6">
        <v>22358.639999999999</v>
      </c>
      <c r="N249" s="6">
        <v>22416.35</v>
      </c>
      <c r="O249" s="6">
        <v>22225.73</v>
      </c>
      <c r="P249" s="37">
        <v>501550</v>
      </c>
    </row>
    <row r="250" spans="2:16" ht="15" thickBot="1">
      <c r="B250" s="9">
        <f t="shared" si="18"/>
        <v>11</v>
      </c>
      <c r="C250" s="15">
        <f t="shared" si="23"/>
        <v>4</v>
      </c>
      <c r="D250" s="25">
        <f t="shared" si="22"/>
        <v>42292</v>
      </c>
      <c r="E250" s="16">
        <f t="shared" si="19"/>
        <v>8.4228553635372627E-3</v>
      </c>
      <c r="F250" s="17">
        <f t="shared" si="20"/>
        <v>1.7377347949922628E-2</v>
      </c>
      <c r="G250" s="18">
        <f t="shared" si="21"/>
        <v>8.9544925863853653E-3</v>
      </c>
      <c r="J250" s="28"/>
      <c r="K250" s="8">
        <v>42292</v>
      </c>
      <c r="L250" s="5">
        <v>22217.69</v>
      </c>
      <c r="M250" s="6">
        <v>22022.14</v>
      </c>
      <c r="N250" s="6">
        <v>22233.919999999998</v>
      </c>
      <c r="O250" s="6">
        <v>21967.73</v>
      </c>
      <c r="P250" s="37">
        <v>483970</v>
      </c>
    </row>
    <row r="251" spans="2:16" ht="15" thickBot="1">
      <c r="B251" s="9">
        <f t="shared" si="18"/>
        <v>10</v>
      </c>
      <c r="C251" s="15">
        <f t="shared" si="23"/>
        <v>3</v>
      </c>
      <c r="D251" s="25">
        <f t="shared" si="22"/>
        <v>42291</v>
      </c>
      <c r="E251" s="16">
        <f t="shared" si="19"/>
        <v>-6.1591519419245122E-3</v>
      </c>
      <c r="F251" s="17">
        <f t="shared" si="20"/>
        <v>-9.5376145940153645E-3</v>
      </c>
      <c r="G251" s="18">
        <f t="shared" si="21"/>
        <v>-3.3784626520908523E-3</v>
      </c>
      <c r="J251" s="28"/>
      <c r="K251" s="8">
        <v>42291</v>
      </c>
      <c r="L251" s="7">
        <v>21838.2</v>
      </c>
      <c r="M251" s="6">
        <v>21912.69</v>
      </c>
      <c r="N251" s="6">
        <v>22035.18</v>
      </c>
      <c r="O251" s="6">
        <v>21797.599999999999</v>
      </c>
      <c r="P251" s="37">
        <v>495310</v>
      </c>
    </row>
    <row r="252" spans="2:16" ht="15" thickBot="1">
      <c r="B252" s="9">
        <f t="shared" si="18"/>
        <v>9</v>
      </c>
      <c r="C252" s="15">
        <f t="shared" si="23"/>
        <v>2</v>
      </c>
      <c r="D252" s="25">
        <f t="shared" si="22"/>
        <v>42290</v>
      </c>
      <c r="E252" s="16">
        <f t="shared" si="19"/>
        <v>-3.602327978427744E-3</v>
      </c>
      <c r="F252" s="17">
        <f t="shared" si="20"/>
        <v>-1.9365115722183024E-3</v>
      </c>
      <c r="G252" s="18">
        <f t="shared" si="21"/>
        <v>1.6658164062094416E-3</v>
      </c>
      <c r="J252" s="28"/>
      <c r="K252" s="8">
        <v>42290</v>
      </c>
      <c r="L252" s="7">
        <v>22048.49</v>
      </c>
      <c r="M252" s="6">
        <v>22011.69</v>
      </c>
      <c r="N252" s="6">
        <v>22179.72</v>
      </c>
      <c r="O252" s="6">
        <v>21747.19</v>
      </c>
      <c r="P252" s="37">
        <v>538030</v>
      </c>
    </row>
    <row r="253" spans="2:16" ht="15" thickBot="1">
      <c r="B253" s="9">
        <f t="shared" si="18"/>
        <v>8</v>
      </c>
      <c r="C253" s="15">
        <f t="shared" si="23"/>
        <v>1</v>
      </c>
      <c r="D253" s="25">
        <f t="shared" si="22"/>
        <v>42289</v>
      </c>
      <c r="E253" s="16">
        <f t="shared" si="19"/>
        <v>2.5474112775292213E-4</v>
      </c>
      <c r="F253" s="17">
        <f t="shared" si="20"/>
        <v>-7.4858847806328344E-3</v>
      </c>
      <c r="G253" s="18">
        <f t="shared" si="21"/>
        <v>-7.7406259083857565E-3</v>
      </c>
      <c r="J253" s="28"/>
      <c r="K253" s="8">
        <v>42289</v>
      </c>
      <c r="L253" s="7">
        <v>22091.27</v>
      </c>
      <c r="M253" s="6">
        <v>22263.56</v>
      </c>
      <c r="N253" s="6">
        <v>22346.13</v>
      </c>
      <c r="O253" s="6">
        <v>22002.98</v>
      </c>
      <c r="P253" s="37">
        <v>414900</v>
      </c>
    </row>
    <row r="254" spans="2:16" ht="15" thickBot="1">
      <c r="B254" s="9">
        <f t="shared" si="18"/>
        <v>7</v>
      </c>
      <c r="C254" s="15">
        <f t="shared" si="23"/>
        <v>5</v>
      </c>
      <c r="D254" s="25">
        <f t="shared" si="22"/>
        <v>42286</v>
      </c>
      <c r="E254" s="16">
        <f t="shared" si="19"/>
        <v>9.724806086093718E-3</v>
      </c>
      <c r="F254" s="17">
        <f t="shared" si="20"/>
        <v>4.5652022815629856E-3</v>
      </c>
      <c r="G254" s="18">
        <f t="shared" si="21"/>
        <v>-5.1596038045307324E-3</v>
      </c>
      <c r="J254" s="28"/>
      <c r="K254" s="8">
        <v>42286</v>
      </c>
      <c r="L254" s="5">
        <v>22257.89</v>
      </c>
      <c r="M254" s="6">
        <v>22372.21</v>
      </c>
      <c r="N254" s="6">
        <v>22423.55</v>
      </c>
      <c r="O254" s="6">
        <v>22204.71</v>
      </c>
      <c r="P254" s="37">
        <v>511460</v>
      </c>
    </row>
    <row r="255" spans="2:16" ht="15" thickBot="1">
      <c r="B255" s="9">
        <f t="shared" si="18"/>
        <v>6</v>
      </c>
      <c r="C255" s="15">
        <f t="shared" si="23"/>
        <v>4</v>
      </c>
      <c r="D255" s="25">
        <f t="shared" si="22"/>
        <v>42285</v>
      </c>
      <c r="E255" s="16">
        <f t="shared" si="19"/>
        <v>1.7303317893029302E-3</v>
      </c>
      <c r="F255" s="17">
        <f t="shared" si="20"/>
        <v>6.7886441523601349E-3</v>
      </c>
      <c r="G255" s="18">
        <f t="shared" si="21"/>
        <v>5.0583123630572047E-3</v>
      </c>
      <c r="J255" s="28"/>
      <c r="K255" s="8">
        <v>42285</v>
      </c>
      <c r="L255" s="5">
        <v>22156.74</v>
      </c>
      <c r="M255" s="6">
        <v>22045.42</v>
      </c>
      <c r="N255" s="6">
        <v>22195.14</v>
      </c>
      <c r="O255" s="6">
        <v>21984.89</v>
      </c>
      <c r="P255" s="37">
        <v>535540</v>
      </c>
    </row>
    <row r="256" spans="2:16" ht="15" thickBot="1">
      <c r="B256" s="9">
        <f t="shared" si="18"/>
        <v>5</v>
      </c>
      <c r="C256" s="15">
        <f t="shared" si="23"/>
        <v>3</v>
      </c>
      <c r="D256" s="25">
        <f t="shared" si="22"/>
        <v>42284</v>
      </c>
      <c r="E256" s="16">
        <f t="shared" si="19"/>
        <v>1.6089150755207449E-3</v>
      </c>
      <c r="F256" s="17">
        <f t="shared" si="20"/>
        <v>-7.90302330875714E-3</v>
      </c>
      <c r="G256" s="18">
        <f t="shared" si="21"/>
        <v>-9.5119383842778849E-3</v>
      </c>
      <c r="J256" s="28"/>
      <c r="K256" s="8">
        <v>42284</v>
      </c>
      <c r="L256" s="7">
        <v>22007.34</v>
      </c>
      <c r="M256" s="6">
        <v>22218.34</v>
      </c>
      <c r="N256" s="6">
        <v>22343.41</v>
      </c>
      <c r="O256" s="6">
        <v>22007.34</v>
      </c>
      <c r="P256" s="37">
        <v>665350</v>
      </c>
    </row>
    <row r="257" spans="2:16" ht="15" thickBot="1">
      <c r="B257" s="9">
        <f t="shared" si="18"/>
        <v>4</v>
      </c>
      <c r="C257" s="15">
        <f t="shared" si="23"/>
        <v>2</v>
      </c>
      <c r="D257" s="25">
        <f t="shared" si="22"/>
        <v>42283</v>
      </c>
      <c r="E257" s="16">
        <f t="shared" si="19"/>
        <v>-1.5741525963509639E-3</v>
      </c>
      <c r="F257" s="17">
        <f t="shared" si="20"/>
        <v>9.2160720070173507E-3</v>
      </c>
      <c r="G257" s="18">
        <f t="shared" si="21"/>
        <v>1.0790224603368315E-2</v>
      </c>
      <c r="J257" s="28"/>
      <c r="K257" s="8">
        <v>42283</v>
      </c>
      <c r="L257" s="5">
        <v>22182.65</v>
      </c>
      <c r="M257" s="6">
        <v>21945.48</v>
      </c>
      <c r="N257" s="6">
        <v>22182.65</v>
      </c>
      <c r="O257" s="6">
        <v>21802.13</v>
      </c>
      <c r="P257" s="37">
        <v>568990</v>
      </c>
    </row>
    <row r="258" spans="2:16" ht="15" thickBot="1">
      <c r="B258" s="9">
        <f t="shared" si="18"/>
        <v>3</v>
      </c>
      <c r="C258" s="15">
        <f t="shared" si="23"/>
        <v>1</v>
      </c>
      <c r="D258" s="25">
        <f t="shared" si="22"/>
        <v>42282</v>
      </c>
      <c r="E258" s="16">
        <f t="shared" si="19"/>
        <v>1.5930141633976325E-2</v>
      </c>
      <c r="F258" s="17">
        <f t="shared" si="20"/>
        <v>2.7332651251747553E-2</v>
      </c>
      <c r="G258" s="18">
        <f t="shared" si="21"/>
        <v>1.1402509617771228E-2</v>
      </c>
      <c r="J258" s="28"/>
      <c r="K258" s="8">
        <v>42282</v>
      </c>
      <c r="L258" s="5">
        <v>21980.080000000002</v>
      </c>
      <c r="M258" s="6">
        <v>21736.12</v>
      </c>
      <c r="N258" s="6">
        <v>22026.560000000001</v>
      </c>
      <c r="O258" s="6">
        <v>21623.22</v>
      </c>
      <c r="P258" s="37">
        <v>628040</v>
      </c>
    </row>
    <row r="259" spans="2:16" ht="15" thickBot="1">
      <c r="B259" s="9">
        <f t="shared" si="18"/>
        <v>2</v>
      </c>
      <c r="C259" s="15">
        <f t="shared" si="23"/>
        <v>5</v>
      </c>
      <c r="D259" s="25">
        <f t="shared" si="22"/>
        <v>42279</v>
      </c>
      <c r="E259" s="16">
        <f t="shared" si="19"/>
        <v>1.067357963870541E-2</v>
      </c>
      <c r="F259" s="17">
        <f t="shared" si="20"/>
        <v>1.193925514334393E-2</v>
      </c>
      <c r="G259" s="18">
        <f t="shared" si="21"/>
        <v>1.2656755046385193E-3</v>
      </c>
      <c r="J259" s="28"/>
      <c r="K259" s="8">
        <v>42279</v>
      </c>
      <c r="L259" s="5">
        <v>21395.29</v>
      </c>
      <c r="M259" s="6">
        <v>21368.53</v>
      </c>
      <c r="N259" s="6">
        <v>21547.94</v>
      </c>
      <c r="O259" s="6">
        <v>21052.48</v>
      </c>
      <c r="P259" s="37">
        <v>733070</v>
      </c>
    </row>
    <row r="260" spans="2:16" ht="15" thickBot="1">
      <c r="B260" s="19">
        <v>1</v>
      </c>
      <c r="C260" s="15">
        <f t="shared" si="23"/>
        <v>4</v>
      </c>
      <c r="D260" s="25">
        <f t="shared" si="22"/>
        <v>42278</v>
      </c>
      <c r="E260" s="16">
        <f t="shared" si="19"/>
        <v>9.7530028203829389E-3</v>
      </c>
      <c r="F260" s="17">
        <f t="shared" si="20"/>
        <v>-7.1434676153722121E-3</v>
      </c>
      <c r="G260" s="18">
        <f t="shared" si="21"/>
        <v>-1.6896470435755151E-2</v>
      </c>
      <c r="J260" s="28"/>
      <c r="K260" s="8">
        <v>42278</v>
      </c>
      <c r="L260" s="7">
        <v>21142.86</v>
      </c>
      <c r="M260" s="6">
        <v>21502.67</v>
      </c>
      <c r="N260" s="6">
        <v>21551.3</v>
      </c>
      <c r="O260" s="6">
        <v>21101.46</v>
      </c>
      <c r="P260" s="37">
        <v>643960</v>
      </c>
    </row>
    <row r="261" spans="2:16" ht="15" thickBot="1">
      <c r="B261" s="9">
        <f t="shared" si="18"/>
        <v>22</v>
      </c>
      <c r="C261" s="15">
        <f t="shared" si="23"/>
        <v>3</v>
      </c>
      <c r="D261" s="25">
        <f t="shared" si="22"/>
        <v>42277</v>
      </c>
      <c r="E261" s="16">
        <f t="shared" si="19"/>
        <v>1.5094021011494707E-2</v>
      </c>
      <c r="F261" s="17">
        <f t="shared" si="20"/>
        <v>2.7415296657700816E-2</v>
      </c>
      <c r="G261" s="18">
        <f t="shared" si="21"/>
        <v>1.2321275646206109E-2</v>
      </c>
      <c r="J261" s="28"/>
      <c r="K261" s="8">
        <v>42277</v>
      </c>
      <c r="L261" s="5">
        <v>21294.98</v>
      </c>
      <c r="M261" s="6">
        <v>21039.599999999999</v>
      </c>
      <c r="N261" s="6">
        <v>21320.6</v>
      </c>
      <c r="O261" s="6">
        <v>20971.28</v>
      </c>
      <c r="P261" s="37">
        <v>713130</v>
      </c>
    </row>
    <row r="262" spans="2:16" ht="15" thickBot="1">
      <c r="B262" s="9">
        <f t="shared" ref="B262:B325" si="24">B263+1</f>
        <v>21</v>
      </c>
      <c r="C262" s="15">
        <f t="shared" si="23"/>
        <v>2</v>
      </c>
      <c r="D262" s="25">
        <f t="shared" si="22"/>
        <v>42276</v>
      </c>
      <c r="E262" s="16">
        <f t="shared" ref="E262:E315" si="25">M262/L263-1</f>
        <v>-1.1797495988581597E-2</v>
      </c>
      <c r="F262" s="17">
        <f t="shared" ref="F262:F315" si="26">L262/L263-1</f>
        <v>-1.5771100349768474E-3</v>
      </c>
      <c r="G262" s="18">
        <f t="shared" ref="G262:G315" si="27">F262-E262</f>
        <v>1.0220385953604749E-2</v>
      </c>
      <c r="J262" s="28"/>
      <c r="K262" s="8">
        <v>42276</v>
      </c>
      <c r="L262" s="7">
        <v>20726.75</v>
      </c>
      <c r="M262" s="6">
        <v>20514.580000000002</v>
      </c>
      <c r="N262" s="6">
        <v>20905.12</v>
      </c>
      <c r="O262" s="6">
        <v>20476.48</v>
      </c>
      <c r="P262" s="37">
        <v>705560</v>
      </c>
    </row>
    <row r="263" spans="2:16" ht="15" thickBot="1">
      <c r="B263" s="9">
        <f t="shared" si="24"/>
        <v>20</v>
      </c>
      <c r="C263" s="15">
        <f t="shared" si="23"/>
        <v>1</v>
      </c>
      <c r="D263" s="25">
        <f t="shared" ref="D263:D315" si="28">K263</f>
        <v>42275</v>
      </c>
      <c r="E263" s="16">
        <f t="shared" si="25"/>
        <v>-6.671318532028736E-3</v>
      </c>
      <c r="F263" s="17">
        <f t="shared" si="26"/>
        <v>-2.716233244966626E-2</v>
      </c>
      <c r="G263" s="18">
        <f t="shared" si="27"/>
        <v>-2.0491013917637524E-2</v>
      </c>
      <c r="J263" s="28"/>
      <c r="K263" s="8">
        <v>42275</v>
      </c>
      <c r="L263" s="7">
        <v>20759.490000000002</v>
      </c>
      <c r="M263" s="6">
        <v>21196.75</v>
      </c>
      <c r="N263" s="6">
        <v>21300.51</v>
      </c>
      <c r="O263" s="6">
        <v>20759.490000000002</v>
      </c>
      <c r="P263" s="37">
        <v>536890</v>
      </c>
    </row>
    <row r="264" spans="2:16" ht="15" thickBot="1">
      <c r="B264" s="9">
        <f t="shared" si="24"/>
        <v>19</v>
      </c>
      <c r="C264" s="15">
        <f t="shared" ref="C264:C315" si="29">WEEKDAY(D264,2)</f>
        <v>5</v>
      </c>
      <c r="D264" s="25">
        <f t="shared" si="28"/>
        <v>42272</v>
      </c>
      <c r="E264" s="16">
        <f t="shared" si="25"/>
        <v>1.8529936356485255E-2</v>
      </c>
      <c r="F264" s="17">
        <f t="shared" si="26"/>
        <v>3.679361844889395E-2</v>
      </c>
      <c r="G264" s="18">
        <f t="shared" si="27"/>
        <v>1.8263682092408695E-2</v>
      </c>
      <c r="J264" s="28"/>
      <c r="K264" s="8">
        <v>42272</v>
      </c>
      <c r="L264" s="5">
        <v>21339.11</v>
      </c>
      <c r="M264" s="6">
        <v>20963.21</v>
      </c>
      <c r="N264" s="6">
        <v>21400.25</v>
      </c>
      <c r="O264" s="6">
        <v>20914.55</v>
      </c>
      <c r="P264" s="37">
        <v>630420</v>
      </c>
    </row>
    <row r="265" spans="2:16" ht="15" thickBot="1">
      <c r="B265" s="9">
        <f t="shared" si="24"/>
        <v>18</v>
      </c>
      <c r="C265" s="15">
        <f t="shared" si="29"/>
        <v>4</v>
      </c>
      <c r="D265" s="25">
        <f t="shared" si="28"/>
        <v>42271</v>
      </c>
      <c r="E265" s="16">
        <f t="shared" si="25"/>
        <v>-6.3078815769990193E-4</v>
      </c>
      <c r="F265" s="17">
        <f t="shared" si="26"/>
        <v>-2.3117033273719279E-2</v>
      </c>
      <c r="G265" s="18">
        <f t="shared" si="27"/>
        <v>-2.2486245116019377E-2</v>
      </c>
      <c r="J265" s="28"/>
      <c r="K265" s="8">
        <v>42271</v>
      </c>
      <c r="L265" s="7">
        <v>20581.830000000002</v>
      </c>
      <c r="M265" s="6">
        <v>21055.59</v>
      </c>
      <c r="N265" s="6">
        <v>21215.58</v>
      </c>
      <c r="O265" s="6">
        <v>20544.96</v>
      </c>
      <c r="P265" s="37">
        <v>824030</v>
      </c>
    </row>
    <row r="266" spans="2:16" ht="15" thickBot="1">
      <c r="B266" s="9">
        <f t="shared" si="24"/>
        <v>17</v>
      </c>
      <c r="C266" s="15">
        <f t="shared" si="29"/>
        <v>3</v>
      </c>
      <c r="D266" s="25">
        <f t="shared" si="28"/>
        <v>42270</v>
      </c>
      <c r="E266" s="16">
        <f t="shared" si="25"/>
        <v>4.387641571334866E-3</v>
      </c>
      <c r="F266" s="17">
        <f t="shared" si="26"/>
        <v>1.76304453256515E-3</v>
      </c>
      <c r="G266" s="18">
        <f t="shared" si="27"/>
        <v>-2.624597038769716E-3</v>
      </c>
      <c r="J266" s="28"/>
      <c r="K266" s="8">
        <v>42270</v>
      </c>
      <c r="L266" s="5">
        <v>21068.880000000001</v>
      </c>
      <c r="M266" s="6">
        <v>21124.080000000002</v>
      </c>
      <c r="N266" s="6">
        <v>21408.6</v>
      </c>
      <c r="O266" s="6">
        <v>20947.14</v>
      </c>
      <c r="P266" s="37">
        <v>608150</v>
      </c>
    </row>
    <row r="267" spans="2:16" ht="15" thickBot="1">
      <c r="B267" s="9">
        <f t="shared" si="24"/>
        <v>16</v>
      </c>
      <c r="C267" s="15">
        <f t="shared" si="29"/>
        <v>2</v>
      </c>
      <c r="D267" s="25">
        <f t="shared" si="28"/>
        <v>42269</v>
      </c>
      <c r="E267" s="16">
        <f t="shared" si="25"/>
        <v>-2.2785126648899867E-3</v>
      </c>
      <c r="F267" s="17">
        <f t="shared" si="26"/>
        <v>-3.3261596420570139E-2</v>
      </c>
      <c r="G267" s="18">
        <f t="shared" si="27"/>
        <v>-3.0983083755680152E-2</v>
      </c>
      <c r="J267" s="28"/>
      <c r="K267" s="8">
        <v>42269</v>
      </c>
      <c r="L267" s="7">
        <v>21031.8</v>
      </c>
      <c r="M267" s="6">
        <v>21705.85</v>
      </c>
      <c r="N267" s="6">
        <v>21705.85</v>
      </c>
      <c r="O267" s="6">
        <v>21017.08</v>
      </c>
      <c r="P267" s="37">
        <v>734830</v>
      </c>
    </row>
    <row r="268" spans="2:16" ht="15" thickBot="1">
      <c r="B268" s="9">
        <f t="shared" si="24"/>
        <v>15</v>
      </c>
      <c r="C268" s="15">
        <f t="shared" si="29"/>
        <v>1</v>
      </c>
      <c r="D268" s="25">
        <f t="shared" si="28"/>
        <v>42268</v>
      </c>
      <c r="E268" s="16">
        <f t="shared" si="25"/>
        <v>-1.9019377268777449E-3</v>
      </c>
      <c r="F268" s="17">
        <f t="shared" si="26"/>
        <v>1.117922927831394E-2</v>
      </c>
      <c r="G268" s="18">
        <f t="shared" si="27"/>
        <v>1.3081167005191685E-2</v>
      </c>
      <c r="J268" s="28"/>
      <c r="K268" s="8">
        <v>42268</v>
      </c>
      <c r="L268" s="5">
        <v>21755.42</v>
      </c>
      <c r="M268" s="6">
        <v>21473.98</v>
      </c>
      <c r="N268" s="6">
        <v>21803.13</v>
      </c>
      <c r="O268" s="6">
        <v>21460.65</v>
      </c>
      <c r="P268" s="37">
        <v>509770</v>
      </c>
    </row>
    <row r="269" spans="2:16" ht="15" thickBot="1">
      <c r="B269" s="9">
        <f t="shared" si="24"/>
        <v>14</v>
      </c>
      <c r="C269" s="15">
        <f t="shared" si="29"/>
        <v>5</v>
      </c>
      <c r="D269" s="25">
        <f t="shared" si="28"/>
        <v>42265</v>
      </c>
      <c r="E269" s="16">
        <f t="shared" si="25"/>
        <v>-4.3168338874174372E-3</v>
      </c>
      <c r="F269" s="17">
        <f t="shared" si="26"/>
        <v>-2.6454408758919246E-2</v>
      </c>
      <c r="G269" s="18">
        <f t="shared" si="27"/>
        <v>-2.2137574871501808E-2</v>
      </c>
      <c r="J269" s="28"/>
      <c r="K269" s="8">
        <v>42265</v>
      </c>
      <c r="L269" s="7">
        <v>21514.9</v>
      </c>
      <c r="M269" s="6">
        <v>22004.13</v>
      </c>
      <c r="N269" s="6">
        <v>22004.13</v>
      </c>
      <c r="O269" s="6">
        <v>21504.45</v>
      </c>
      <c r="P269" s="37">
        <v>918950</v>
      </c>
    </row>
    <row r="270" spans="2:16" ht="15" thickBot="1">
      <c r="B270" s="9">
        <f t="shared" si="24"/>
        <v>13</v>
      </c>
      <c r="C270" s="15">
        <f t="shared" si="29"/>
        <v>4</v>
      </c>
      <c r="D270" s="25">
        <f t="shared" si="28"/>
        <v>42264</v>
      </c>
      <c r="E270" s="16">
        <f t="shared" si="25"/>
        <v>2.3377990417607908E-3</v>
      </c>
      <c r="F270" s="17">
        <f t="shared" si="26"/>
        <v>1.8278079768041522E-3</v>
      </c>
      <c r="G270" s="18">
        <f t="shared" si="27"/>
        <v>-5.099910649566386E-4</v>
      </c>
      <c r="J270" s="28"/>
      <c r="K270" s="8">
        <v>42264</v>
      </c>
      <c r="L270" s="5">
        <v>22099.53</v>
      </c>
      <c r="M270" s="6">
        <v>22110.78</v>
      </c>
      <c r="N270" s="6">
        <v>22129.89</v>
      </c>
      <c r="O270" s="6">
        <v>21974.52</v>
      </c>
      <c r="P270" s="37">
        <v>473020</v>
      </c>
    </row>
    <row r="271" spans="2:16" ht="15" thickBot="1">
      <c r="B271" s="9">
        <f t="shared" si="24"/>
        <v>12</v>
      </c>
      <c r="C271" s="15">
        <f t="shared" si="29"/>
        <v>3</v>
      </c>
      <c r="D271" s="25">
        <f t="shared" si="28"/>
        <v>42263</v>
      </c>
      <c r="E271" s="16">
        <f t="shared" si="25"/>
        <v>8.2872108413081236E-3</v>
      </c>
      <c r="F271" s="17">
        <f t="shared" si="26"/>
        <v>7.1029322536948492E-3</v>
      </c>
      <c r="G271" s="18">
        <f t="shared" si="27"/>
        <v>-1.1842785876132744E-3</v>
      </c>
      <c r="J271" s="28"/>
      <c r="K271" s="8">
        <v>42263</v>
      </c>
      <c r="L271" s="5">
        <v>22059.21</v>
      </c>
      <c r="M271" s="6">
        <v>22085.15</v>
      </c>
      <c r="N271" s="6">
        <v>22180.98</v>
      </c>
      <c r="O271" s="6">
        <v>21907.83</v>
      </c>
      <c r="P271" s="37">
        <v>530780</v>
      </c>
    </row>
    <row r="272" spans="2:16" ht="15" thickBot="1">
      <c r="B272" s="9">
        <f t="shared" si="24"/>
        <v>11</v>
      </c>
      <c r="C272" s="15">
        <f t="shared" si="29"/>
        <v>2</v>
      </c>
      <c r="D272" s="25">
        <f t="shared" si="28"/>
        <v>42262</v>
      </c>
      <c r="E272" s="16">
        <f t="shared" si="25"/>
        <v>1.403464818268807E-3</v>
      </c>
      <c r="F272" s="17">
        <f t="shared" si="26"/>
        <v>1.6230548673551892E-2</v>
      </c>
      <c r="G272" s="18">
        <f t="shared" si="27"/>
        <v>1.4827083855283085E-2</v>
      </c>
      <c r="J272" s="28"/>
      <c r="K272" s="8">
        <v>42262</v>
      </c>
      <c r="L272" s="5">
        <v>21903.63</v>
      </c>
      <c r="M272" s="6">
        <v>21584.05</v>
      </c>
      <c r="N272" s="6">
        <v>21992.67</v>
      </c>
      <c r="O272" s="6">
        <v>21434.66</v>
      </c>
      <c r="P272" s="37">
        <v>556710</v>
      </c>
    </row>
    <row r="273" spans="2:16" ht="15" thickBot="1">
      <c r="B273" s="9">
        <f t="shared" si="24"/>
        <v>10</v>
      </c>
      <c r="C273" s="15">
        <f t="shared" si="29"/>
        <v>1</v>
      </c>
      <c r="D273" s="25">
        <f t="shared" si="28"/>
        <v>42261</v>
      </c>
      <c r="E273" s="16">
        <f t="shared" si="25"/>
        <v>2.4316913902409087E-3</v>
      </c>
      <c r="F273" s="17">
        <f t="shared" si="26"/>
        <v>-9.595807124414768E-3</v>
      </c>
      <c r="G273" s="18">
        <f t="shared" si="27"/>
        <v>-1.2027498514655677E-2</v>
      </c>
      <c r="J273" s="28"/>
      <c r="K273" s="8">
        <v>42261</v>
      </c>
      <c r="L273" s="7">
        <v>21553.8</v>
      </c>
      <c r="M273" s="6">
        <v>21815.55</v>
      </c>
      <c r="N273" s="6">
        <v>21860.37</v>
      </c>
      <c r="O273" s="6">
        <v>21497.11</v>
      </c>
      <c r="P273" s="37">
        <v>554780</v>
      </c>
    </row>
    <row r="274" spans="2:16" ht="15" thickBot="1">
      <c r="B274" s="9">
        <f t="shared" si="24"/>
        <v>9</v>
      </c>
      <c r="C274" s="15">
        <f t="shared" si="29"/>
        <v>5</v>
      </c>
      <c r="D274" s="25">
        <f t="shared" si="28"/>
        <v>42258</v>
      </c>
      <c r="E274" s="16">
        <f t="shared" si="25"/>
        <v>6.7771768535873633E-3</v>
      </c>
      <c r="F274" s="17">
        <f t="shared" si="26"/>
        <v>-6.3383931200902133E-3</v>
      </c>
      <c r="G274" s="18">
        <f t="shared" si="27"/>
        <v>-1.3115569973677577E-2</v>
      </c>
      <c r="J274" s="28"/>
      <c r="K274" s="8">
        <v>42258</v>
      </c>
      <c r="L274" s="7">
        <v>21762.63</v>
      </c>
      <c r="M274" s="6">
        <v>22049.88</v>
      </c>
      <c r="N274" s="6">
        <v>22063.759999999998</v>
      </c>
      <c r="O274" s="6">
        <v>21706.73</v>
      </c>
      <c r="P274" s="37">
        <v>574350</v>
      </c>
    </row>
    <row r="275" spans="2:16" ht="15" thickBot="1">
      <c r="B275" s="9">
        <f t="shared" si="24"/>
        <v>8</v>
      </c>
      <c r="C275" s="15">
        <f t="shared" si="29"/>
        <v>4</v>
      </c>
      <c r="D275" s="25">
        <f t="shared" si="28"/>
        <v>42257</v>
      </c>
      <c r="E275" s="16">
        <f t="shared" si="25"/>
        <v>-8.2213375141289013E-3</v>
      </c>
      <c r="F275" s="17">
        <f t="shared" si="26"/>
        <v>-1.0174193288882916E-2</v>
      </c>
      <c r="G275" s="18">
        <f t="shared" si="27"/>
        <v>-1.9528557747540143E-3</v>
      </c>
      <c r="J275" s="28"/>
      <c r="K275" s="8">
        <v>42257</v>
      </c>
      <c r="L275" s="7">
        <v>21901.45</v>
      </c>
      <c r="M275" s="6">
        <v>21944.66</v>
      </c>
      <c r="N275" s="6">
        <v>22121.02</v>
      </c>
      <c r="O275" s="6">
        <v>21806.95</v>
      </c>
      <c r="P275" s="37">
        <v>582530</v>
      </c>
    </row>
    <row r="276" spans="2:16" ht="15" thickBot="1">
      <c r="B276" s="9">
        <f t="shared" si="24"/>
        <v>7</v>
      </c>
      <c r="C276" s="15">
        <f t="shared" si="29"/>
        <v>3</v>
      </c>
      <c r="D276" s="25">
        <f t="shared" si="28"/>
        <v>42256</v>
      </c>
      <c r="E276" s="16">
        <f t="shared" si="25"/>
        <v>2.0810972544483386E-2</v>
      </c>
      <c r="F276" s="17">
        <f t="shared" si="26"/>
        <v>8.4434338697187972E-3</v>
      </c>
      <c r="G276" s="18">
        <f t="shared" si="27"/>
        <v>-1.2367538674764589E-2</v>
      </c>
      <c r="J276" s="28"/>
      <c r="K276" s="8">
        <v>42256</v>
      </c>
      <c r="L276" s="5">
        <v>22126.57</v>
      </c>
      <c r="M276" s="6">
        <v>22397.93</v>
      </c>
      <c r="N276" s="6">
        <v>22448.77</v>
      </c>
      <c r="O276" s="6">
        <v>22126.57</v>
      </c>
      <c r="P276" s="37">
        <v>637020</v>
      </c>
    </row>
    <row r="277" spans="2:16" ht="15" thickBot="1">
      <c r="B277" s="9">
        <f t="shared" si="24"/>
        <v>6</v>
      </c>
      <c r="C277" s="15">
        <f t="shared" si="29"/>
        <v>2</v>
      </c>
      <c r="D277" s="25">
        <f t="shared" si="28"/>
        <v>42255</v>
      </c>
      <c r="E277" s="16">
        <f t="shared" si="25"/>
        <v>4.468989017839986E-3</v>
      </c>
      <c r="F277" s="17">
        <f t="shared" si="26"/>
        <v>1.475187236904052E-2</v>
      </c>
      <c r="G277" s="18">
        <f t="shared" si="27"/>
        <v>1.0282883351200534E-2</v>
      </c>
      <c r="J277" s="28"/>
      <c r="K277" s="8">
        <v>42255</v>
      </c>
      <c r="L277" s="5">
        <v>21941.31</v>
      </c>
      <c r="M277" s="6">
        <v>21718.97</v>
      </c>
      <c r="N277" s="6">
        <v>22124.99</v>
      </c>
      <c r="O277" s="6">
        <v>21710.720000000001</v>
      </c>
      <c r="P277" s="37">
        <v>513760</v>
      </c>
    </row>
    <row r="278" spans="2:16" ht="15" thickBot="1">
      <c r="B278" s="9">
        <f t="shared" si="24"/>
        <v>5</v>
      </c>
      <c r="C278" s="15">
        <f t="shared" si="29"/>
        <v>1</v>
      </c>
      <c r="D278" s="25">
        <f t="shared" si="28"/>
        <v>42254</v>
      </c>
      <c r="E278" s="16">
        <f t="shared" si="25"/>
        <v>9.6755505134895614E-3</v>
      </c>
      <c r="F278" s="17">
        <f t="shared" si="26"/>
        <v>6.9697867243398992E-3</v>
      </c>
      <c r="G278" s="18">
        <f t="shared" si="27"/>
        <v>-2.7057637891496622E-3</v>
      </c>
      <c r="J278" s="28"/>
      <c r="K278" s="8">
        <v>42254</v>
      </c>
      <c r="L278" s="5">
        <v>21622.34</v>
      </c>
      <c r="M278" s="6">
        <v>21680.44</v>
      </c>
      <c r="N278" s="6">
        <v>21754.59</v>
      </c>
      <c r="O278" s="6">
        <v>21501.54</v>
      </c>
      <c r="P278" s="37">
        <v>321240</v>
      </c>
    </row>
    <row r="279" spans="2:16" ht="15" thickBot="1">
      <c r="B279" s="9">
        <f t="shared" si="24"/>
        <v>4</v>
      </c>
      <c r="C279" s="15">
        <f t="shared" si="29"/>
        <v>5</v>
      </c>
      <c r="D279" s="25">
        <f t="shared" si="28"/>
        <v>42251</v>
      </c>
      <c r="E279" s="16">
        <f t="shared" si="25"/>
        <v>-1.1577116673437859E-2</v>
      </c>
      <c r="F279" s="17">
        <f t="shared" si="26"/>
        <v>-3.17751834414991E-2</v>
      </c>
      <c r="G279" s="18">
        <f t="shared" si="27"/>
        <v>-2.019806676806124E-2</v>
      </c>
      <c r="J279" s="28"/>
      <c r="K279" s="8">
        <v>42251</v>
      </c>
      <c r="L279" s="7">
        <v>21472.68</v>
      </c>
      <c r="M279" s="6">
        <v>21920.62</v>
      </c>
      <c r="N279" s="6">
        <v>21955.09</v>
      </c>
      <c r="O279" s="6">
        <v>21424.04</v>
      </c>
      <c r="P279" s="37">
        <v>723780</v>
      </c>
    </row>
    <row r="280" spans="2:16" ht="15" thickBot="1">
      <c r="B280" s="9">
        <f t="shared" si="24"/>
        <v>3</v>
      </c>
      <c r="C280" s="15">
        <f t="shared" si="29"/>
        <v>4</v>
      </c>
      <c r="D280" s="25">
        <f t="shared" si="28"/>
        <v>42250</v>
      </c>
      <c r="E280" s="16">
        <f t="shared" si="25"/>
        <v>6.105404404960213E-3</v>
      </c>
      <c r="F280" s="17">
        <f t="shared" si="26"/>
        <v>2.6160003701647172E-2</v>
      </c>
      <c r="G280" s="18">
        <f t="shared" si="27"/>
        <v>2.0054599296686959E-2</v>
      </c>
      <c r="J280" s="28"/>
      <c r="K280" s="8">
        <v>42250</v>
      </c>
      <c r="L280" s="5">
        <v>22177.37</v>
      </c>
      <c r="M280" s="6">
        <v>21743.95</v>
      </c>
      <c r="N280" s="6">
        <v>22291.71</v>
      </c>
      <c r="O280" s="6">
        <v>21690.2</v>
      </c>
      <c r="P280" s="37">
        <v>658230</v>
      </c>
    </row>
    <row r="281" spans="2:16" ht="15" thickBot="1">
      <c r="B281" s="9">
        <f t="shared" si="24"/>
        <v>2</v>
      </c>
      <c r="C281" s="15">
        <f t="shared" si="29"/>
        <v>3</v>
      </c>
      <c r="D281" s="25">
        <f t="shared" si="28"/>
        <v>42249</v>
      </c>
      <c r="E281" s="16">
        <f t="shared" si="25"/>
        <v>5.3618953008596204E-3</v>
      </c>
      <c r="F281" s="17">
        <f t="shared" si="26"/>
        <v>7.4880998276567468E-3</v>
      </c>
      <c r="G281" s="18">
        <f t="shared" si="27"/>
        <v>2.1262045267971263E-3</v>
      </c>
      <c r="J281" s="28"/>
      <c r="K281" s="8">
        <v>42249</v>
      </c>
      <c r="L281" s="5">
        <v>21612</v>
      </c>
      <c r="M281" s="6">
        <v>21566.39</v>
      </c>
      <c r="N281" s="6">
        <v>21827.59</v>
      </c>
      <c r="O281" s="6">
        <v>21429.98</v>
      </c>
      <c r="P281" s="37">
        <v>541770</v>
      </c>
    </row>
    <row r="282" spans="2:16" ht="15" thickBot="1">
      <c r="B282" s="19">
        <v>1</v>
      </c>
      <c r="C282" s="15">
        <f t="shared" si="29"/>
        <v>2</v>
      </c>
      <c r="D282" s="25">
        <f t="shared" si="28"/>
        <v>42248</v>
      </c>
      <c r="E282" s="16">
        <f t="shared" si="25"/>
        <v>-9.4453903760473024E-3</v>
      </c>
      <c r="F282" s="17">
        <f t="shared" si="26"/>
        <v>-2.23567490903257E-2</v>
      </c>
      <c r="G282" s="18">
        <f t="shared" si="27"/>
        <v>-1.2911358714278398E-2</v>
      </c>
      <c r="J282" s="28"/>
      <c r="K282" s="8">
        <v>42248</v>
      </c>
      <c r="L282" s="7">
        <v>21451.37</v>
      </c>
      <c r="M282" s="6">
        <v>21734.67</v>
      </c>
      <c r="N282" s="6">
        <v>21854.59</v>
      </c>
      <c r="O282" s="6">
        <v>21343.88</v>
      </c>
      <c r="P282" s="37">
        <v>614630</v>
      </c>
    </row>
    <row r="283" spans="2:16" ht="15" thickBot="1">
      <c r="B283" s="9">
        <f t="shared" si="24"/>
        <v>21</v>
      </c>
      <c r="C283" s="15">
        <f t="shared" si="29"/>
        <v>1</v>
      </c>
      <c r="D283" s="25">
        <f t="shared" si="28"/>
        <v>42247</v>
      </c>
      <c r="E283" s="16">
        <f t="shared" si="25"/>
        <v>4.4194393495589068E-4</v>
      </c>
      <c r="F283" s="17">
        <f t="shared" si="26"/>
        <v>-2.3561249701052889E-3</v>
      </c>
      <c r="G283" s="18">
        <f t="shared" si="27"/>
        <v>-2.7980689050611796E-3</v>
      </c>
      <c r="J283" s="28"/>
      <c r="K283" s="8">
        <v>42247</v>
      </c>
      <c r="L283" s="7">
        <v>21941.919999999998</v>
      </c>
      <c r="M283" s="6">
        <v>22003.46</v>
      </c>
      <c r="N283" s="6">
        <v>22112.240000000002</v>
      </c>
      <c r="O283" s="6">
        <v>21775.98</v>
      </c>
      <c r="P283" s="37">
        <v>435510</v>
      </c>
    </row>
    <row r="284" spans="2:16" ht="15" thickBot="1">
      <c r="B284" s="9">
        <f t="shared" si="24"/>
        <v>20</v>
      </c>
      <c r="C284" s="15">
        <f t="shared" si="29"/>
        <v>5</v>
      </c>
      <c r="D284" s="25">
        <f t="shared" si="28"/>
        <v>42244</v>
      </c>
      <c r="E284" s="16">
        <f t="shared" si="25"/>
        <v>2.1318629049547067E-3</v>
      </c>
      <c r="F284" s="17">
        <f t="shared" si="26"/>
        <v>-9.3463247998760712E-3</v>
      </c>
      <c r="G284" s="18">
        <f t="shared" si="27"/>
        <v>-1.1478187704830778E-2</v>
      </c>
      <c r="J284" s="28"/>
      <c r="K284" s="8">
        <v>42244</v>
      </c>
      <c r="L284" s="7">
        <v>21993.74</v>
      </c>
      <c r="M284" s="6">
        <v>22248.57</v>
      </c>
      <c r="N284" s="6">
        <v>22276.16</v>
      </c>
      <c r="O284" s="6">
        <v>21846.12</v>
      </c>
      <c r="P284" s="37">
        <v>457900</v>
      </c>
    </row>
    <row r="285" spans="2:16" ht="15" thickBot="1">
      <c r="B285" s="9">
        <f t="shared" si="24"/>
        <v>19</v>
      </c>
      <c r="C285" s="15">
        <f t="shared" si="29"/>
        <v>4</v>
      </c>
      <c r="D285" s="25">
        <f t="shared" si="28"/>
        <v>42243</v>
      </c>
      <c r="E285" s="16">
        <f t="shared" si="25"/>
        <v>2.1851269057516998E-2</v>
      </c>
      <c r="F285" s="17">
        <f t="shared" si="26"/>
        <v>3.3875218230952076E-2</v>
      </c>
      <c r="G285" s="18">
        <f t="shared" si="27"/>
        <v>1.2023949173435078E-2</v>
      </c>
      <c r="J285" s="28"/>
      <c r="K285" s="8">
        <v>42243</v>
      </c>
      <c r="L285" s="5">
        <v>22201.24</v>
      </c>
      <c r="M285" s="6">
        <v>21943.040000000001</v>
      </c>
      <c r="N285" s="6">
        <v>22263.439999999999</v>
      </c>
      <c r="O285" s="6">
        <v>21768.240000000002</v>
      </c>
      <c r="P285" s="37">
        <v>680210</v>
      </c>
    </row>
    <row r="286" spans="2:16" ht="15" thickBot="1">
      <c r="B286" s="9">
        <f t="shared" si="24"/>
        <v>18</v>
      </c>
      <c r="C286" s="15">
        <f t="shared" si="29"/>
        <v>3</v>
      </c>
      <c r="D286" s="25">
        <f t="shared" si="28"/>
        <v>42242</v>
      </c>
      <c r="E286" s="16">
        <f t="shared" si="25"/>
        <v>-1.5052409526418065E-2</v>
      </c>
      <c r="F286" s="17">
        <f t="shared" si="26"/>
        <v>-8.1239038526647045E-3</v>
      </c>
      <c r="G286" s="18">
        <f t="shared" si="27"/>
        <v>6.9285056737533601E-3</v>
      </c>
      <c r="J286" s="28"/>
      <c r="K286" s="8">
        <v>42242</v>
      </c>
      <c r="L286" s="7">
        <v>21473.81</v>
      </c>
      <c r="M286" s="6">
        <v>21323.81</v>
      </c>
      <c r="N286" s="6">
        <v>21801.61</v>
      </c>
      <c r="O286" s="6">
        <v>21151.43</v>
      </c>
      <c r="P286" s="37">
        <v>646690</v>
      </c>
    </row>
    <row r="287" spans="2:16" ht="15" thickBot="1">
      <c r="B287" s="9">
        <f t="shared" si="24"/>
        <v>17</v>
      </c>
      <c r="C287" s="15">
        <f t="shared" si="29"/>
        <v>2</v>
      </c>
      <c r="D287" s="25">
        <f t="shared" si="28"/>
        <v>42241</v>
      </c>
      <c r="E287" s="16">
        <f t="shared" si="25"/>
        <v>2.0269989432984969E-2</v>
      </c>
      <c r="F287" s="17">
        <f t="shared" si="26"/>
        <v>5.8642287717177499E-2</v>
      </c>
      <c r="G287" s="18">
        <f t="shared" si="27"/>
        <v>3.837229828419253E-2</v>
      </c>
      <c r="J287" s="28"/>
      <c r="K287" s="8">
        <v>42241</v>
      </c>
      <c r="L287" s="5">
        <v>21649.69</v>
      </c>
      <c r="M287" s="6">
        <v>20864.96</v>
      </c>
      <c r="N287" s="6">
        <v>21664.32</v>
      </c>
      <c r="O287" s="6">
        <v>20632.97</v>
      </c>
      <c r="P287" s="37">
        <v>1020000</v>
      </c>
    </row>
    <row r="288" spans="2:16" ht="15" thickBot="1">
      <c r="B288" s="9">
        <f t="shared" si="24"/>
        <v>16</v>
      </c>
      <c r="C288" s="15">
        <f t="shared" si="29"/>
        <v>1</v>
      </c>
      <c r="D288" s="25">
        <f t="shared" si="28"/>
        <v>42240</v>
      </c>
      <c r="E288" s="16">
        <f t="shared" si="25"/>
        <v>-3.4639203133241203E-2</v>
      </c>
      <c r="F288" s="17">
        <f t="shared" si="26"/>
        <v>-5.9584745267787342E-2</v>
      </c>
      <c r="G288" s="18">
        <f t="shared" si="27"/>
        <v>-2.4945542134546139E-2</v>
      </c>
      <c r="J288" s="28"/>
      <c r="K288" s="8">
        <v>42240</v>
      </c>
      <c r="L288" s="7">
        <v>20450.43</v>
      </c>
      <c r="M288" s="6">
        <v>20992.9</v>
      </c>
      <c r="N288" s="6">
        <v>21349.59</v>
      </c>
      <c r="O288" s="6">
        <v>20158.22</v>
      </c>
      <c r="P288" s="37">
        <v>1220000</v>
      </c>
    </row>
    <row r="289" spans="2:16" ht="15" thickBot="1">
      <c r="B289" s="9">
        <f t="shared" si="24"/>
        <v>15</v>
      </c>
      <c r="C289" s="15">
        <f t="shared" si="29"/>
        <v>5</v>
      </c>
      <c r="D289" s="25">
        <f t="shared" si="28"/>
        <v>42237</v>
      </c>
      <c r="E289" s="16">
        <f t="shared" si="25"/>
        <v>-1.6813346649596883E-2</v>
      </c>
      <c r="F289" s="17">
        <f t="shared" si="26"/>
        <v>-2.8262652126022081E-2</v>
      </c>
      <c r="G289" s="18">
        <f t="shared" si="27"/>
        <v>-1.1449305476425198E-2</v>
      </c>
      <c r="J289" s="28"/>
      <c r="K289" s="8">
        <v>42237</v>
      </c>
      <c r="L289" s="7">
        <v>21746.17</v>
      </c>
      <c r="M289" s="6">
        <v>22002.39</v>
      </c>
      <c r="N289" s="6">
        <v>22379.62</v>
      </c>
      <c r="O289" s="6">
        <v>21746.17</v>
      </c>
      <c r="P289" s="37">
        <v>717680</v>
      </c>
    </row>
    <row r="290" spans="2:16" ht="15" thickBot="1">
      <c r="B290" s="9">
        <f t="shared" si="24"/>
        <v>14</v>
      </c>
      <c r="C290" s="15">
        <f t="shared" si="29"/>
        <v>4</v>
      </c>
      <c r="D290" s="25">
        <f t="shared" si="28"/>
        <v>42236</v>
      </c>
      <c r="E290" s="16">
        <f t="shared" si="25"/>
        <v>-6.0390889006116666E-3</v>
      </c>
      <c r="F290" s="17">
        <f t="shared" si="26"/>
        <v>-2.5970040896057034E-2</v>
      </c>
      <c r="G290" s="18">
        <f t="shared" si="27"/>
        <v>-1.9930951995445367E-2</v>
      </c>
      <c r="J290" s="28"/>
      <c r="K290" s="8">
        <v>42236</v>
      </c>
      <c r="L290" s="7">
        <v>22378.65</v>
      </c>
      <c r="M290" s="6">
        <v>22836.57</v>
      </c>
      <c r="N290" s="6">
        <v>23011.01</v>
      </c>
      <c r="O290" s="6">
        <v>22352.15</v>
      </c>
      <c r="P290" s="37">
        <v>623010</v>
      </c>
    </row>
    <row r="291" spans="2:16" ht="15" thickBot="1">
      <c r="B291" s="9">
        <f t="shared" si="24"/>
        <v>13</v>
      </c>
      <c r="C291" s="15">
        <f t="shared" si="29"/>
        <v>3</v>
      </c>
      <c r="D291" s="25">
        <f t="shared" si="28"/>
        <v>42235</v>
      </c>
      <c r="E291" s="16">
        <f t="shared" si="25"/>
        <v>-7.6854276152088508E-3</v>
      </c>
      <c r="F291" s="17">
        <f t="shared" si="26"/>
        <v>-1.771718515655607E-2</v>
      </c>
      <c r="G291" s="18">
        <f t="shared" si="27"/>
        <v>-1.0031757541347219E-2</v>
      </c>
      <c r="J291" s="28"/>
      <c r="K291" s="8">
        <v>42235</v>
      </c>
      <c r="L291" s="7">
        <v>22975.32</v>
      </c>
      <c r="M291" s="6">
        <v>23209.96</v>
      </c>
      <c r="N291" s="6">
        <v>23338.799999999999</v>
      </c>
      <c r="O291" s="6">
        <v>22975.32</v>
      </c>
      <c r="P291" s="37">
        <v>470920</v>
      </c>
    </row>
    <row r="292" spans="2:16" ht="15" thickBot="1">
      <c r="B292" s="9">
        <f t="shared" si="24"/>
        <v>12</v>
      </c>
      <c r="C292" s="15">
        <f t="shared" si="29"/>
        <v>2</v>
      </c>
      <c r="D292" s="25">
        <f t="shared" si="28"/>
        <v>42234</v>
      </c>
      <c r="E292" s="16">
        <f t="shared" si="25"/>
        <v>-3.1288461760280439E-3</v>
      </c>
      <c r="F292" s="17">
        <f t="shared" si="26"/>
        <v>-7.8050272577867563E-4</v>
      </c>
      <c r="G292" s="18">
        <f t="shared" si="27"/>
        <v>2.3483434502493683E-3</v>
      </c>
      <c r="J292" s="28"/>
      <c r="K292" s="8">
        <v>42234</v>
      </c>
      <c r="L292" s="7">
        <v>23389.72</v>
      </c>
      <c r="M292" s="6">
        <v>23334.75</v>
      </c>
      <c r="N292" s="6">
        <v>23495.41</v>
      </c>
      <c r="O292" s="6">
        <v>23259.17</v>
      </c>
      <c r="P292" s="37">
        <v>338010</v>
      </c>
    </row>
    <row r="293" spans="2:16" ht="15" thickBot="1">
      <c r="B293" s="9">
        <f t="shared" si="24"/>
        <v>11</v>
      </c>
      <c r="C293" s="15">
        <f t="shared" si="29"/>
        <v>1</v>
      </c>
      <c r="D293" s="25">
        <f t="shared" si="28"/>
        <v>42233</v>
      </c>
      <c r="E293" s="16">
        <f t="shared" si="25"/>
        <v>5.1237670182875394E-3</v>
      </c>
      <c r="F293" s="17">
        <f t="shared" si="26"/>
        <v>6.8593613701002365E-3</v>
      </c>
      <c r="G293" s="18">
        <f t="shared" si="27"/>
        <v>1.7355943518126971E-3</v>
      </c>
      <c r="J293" s="28"/>
      <c r="K293" s="8">
        <v>42233</v>
      </c>
      <c r="L293" s="5">
        <v>23407.99</v>
      </c>
      <c r="M293" s="6">
        <v>23367.64</v>
      </c>
      <c r="N293" s="6">
        <v>23465.37</v>
      </c>
      <c r="O293" s="6">
        <v>23103.65</v>
      </c>
      <c r="P293" s="37">
        <v>334840</v>
      </c>
    </row>
    <row r="294" spans="2:16" ht="15" thickBot="1">
      <c r="B294" s="9">
        <f t="shared" si="24"/>
        <v>10</v>
      </c>
      <c r="C294" s="15">
        <f t="shared" si="29"/>
        <v>5</v>
      </c>
      <c r="D294" s="25">
        <f t="shared" si="28"/>
        <v>42230</v>
      </c>
      <c r="E294" s="16">
        <f t="shared" si="25"/>
        <v>6.5679026511800132E-4</v>
      </c>
      <c r="F294" s="17">
        <f t="shared" si="26"/>
        <v>-4.6022415643767189E-3</v>
      </c>
      <c r="G294" s="18">
        <f t="shared" si="27"/>
        <v>-5.2590318294947203E-3</v>
      </c>
      <c r="J294" s="28"/>
      <c r="K294" s="8">
        <v>42230</v>
      </c>
      <c r="L294" s="7">
        <v>23248.52</v>
      </c>
      <c r="M294" s="6">
        <v>23371.35</v>
      </c>
      <c r="N294" s="6">
        <v>23524.73</v>
      </c>
      <c r="O294" s="6">
        <v>23175.01</v>
      </c>
      <c r="P294" s="37">
        <v>365060</v>
      </c>
    </row>
    <row r="295" spans="2:16" ht="15" thickBot="1">
      <c r="B295" s="9">
        <f t="shared" si="24"/>
        <v>9</v>
      </c>
      <c r="C295" s="15">
        <f t="shared" si="29"/>
        <v>4</v>
      </c>
      <c r="D295" s="25">
        <f t="shared" si="28"/>
        <v>42229</v>
      </c>
      <c r="E295" s="16">
        <f t="shared" si="25"/>
        <v>1.521205519718416E-2</v>
      </c>
      <c r="F295" s="17">
        <f t="shared" si="26"/>
        <v>1.5586877732628013E-2</v>
      </c>
      <c r="G295" s="18">
        <f t="shared" si="27"/>
        <v>3.748225354438528E-4</v>
      </c>
      <c r="J295" s="28"/>
      <c r="K295" s="8">
        <v>42229</v>
      </c>
      <c r="L295" s="5">
        <v>23356.01</v>
      </c>
      <c r="M295" s="6">
        <v>23347.39</v>
      </c>
      <c r="N295" s="6">
        <v>23545.82</v>
      </c>
      <c r="O295" s="6">
        <v>23255.67</v>
      </c>
      <c r="P295" s="37">
        <v>523540</v>
      </c>
    </row>
    <row r="296" spans="2:16" ht="15" thickBot="1">
      <c r="B296" s="9">
        <f t="shared" si="24"/>
        <v>8</v>
      </c>
      <c r="C296" s="15">
        <f t="shared" si="29"/>
        <v>3</v>
      </c>
      <c r="D296" s="25">
        <f t="shared" si="28"/>
        <v>42228</v>
      </c>
      <c r="E296" s="16">
        <f t="shared" si="25"/>
        <v>-7.0877933572983665E-3</v>
      </c>
      <c r="F296" s="17">
        <f t="shared" si="26"/>
        <v>-2.957741189417562E-2</v>
      </c>
      <c r="G296" s="18">
        <f t="shared" si="27"/>
        <v>-2.2489618536877254E-2</v>
      </c>
      <c r="J296" s="28"/>
      <c r="K296" s="8">
        <v>42228</v>
      </c>
      <c r="L296" s="7">
        <v>22997.55</v>
      </c>
      <c r="M296" s="6">
        <v>23530.52</v>
      </c>
      <c r="N296" s="6">
        <v>23533.01</v>
      </c>
      <c r="O296" s="6">
        <v>22923.11</v>
      </c>
      <c r="P296" s="37">
        <v>670240</v>
      </c>
    </row>
    <row r="297" spans="2:16" ht="15" thickBot="1">
      <c r="B297" s="9">
        <f t="shared" si="24"/>
        <v>7</v>
      </c>
      <c r="C297" s="15">
        <f t="shared" si="29"/>
        <v>2</v>
      </c>
      <c r="D297" s="25">
        <f t="shared" si="28"/>
        <v>42227</v>
      </c>
      <c r="E297" s="16">
        <f t="shared" si="25"/>
        <v>-2.0941783594058405E-3</v>
      </c>
      <c r="F297" s="17">
        <f t="shared" si="26"/>
        <v>-1.1180217003443071E-2</v>
      </c>
      <c r="G297" s="18">
        <f t="shared" si="27"/>
        <v>-9.0860386440372309E-3</v>
      </c>
      <c r="J297" s="28"/>
      <c r="K297" s="8">
        <v>42227</v>
      </c>
      <c r="L297" s="7">
        <v>23698.49</v>
      </c>
      <c r="M297" s="6">
        <v>23916.25</v>
      </c>
      <c r="N297" s="6">
        <v>23979.61</v>
      </c>
      <c r="O297" s="6">
        <v>23698.49</v>
      </c>
      <c r="P297" s="37">
        <v>419920</v>
      </c>
    </row>
    <row r="298" spans="2:16" ht="15" thickBot="1">
      <c r="B298" s="9">
        <f t="shared" si="24"/>
        <v>6</v>
      </c>
      <c r="C298" s="15">
        <f t="shared" si="29"/>
        <v>1</v>
      </c>
      <c r="D298" s="25">
        <f t="shared" si="28"/>
        <v>42226</v>
      </c>
      <c r="E298" s="16">
        <f t="shared" si="25"/>
        <v>0</v>
      </c>
      <c r="F298" s="17">
        <f t="shared" si="26"/>
        <v>1.1028896857202986E-2</v>
      </c>
      <c r="G298" s="18">
        <f t="shared" si="27"/>
        <v>1.1028896857202986E-2</v>
      </c>
      <c r="J298" s="28"/>
      <c r="K298" s="8">
        <v>42226</v>
      </c>
      <c r="L298" s="5">
        <v>23966.44</v>
      </c>
      <c r="M298" s="6">
        <v>23705</v>
      </c>
      <c r="N298" s="6">
        <v>23992.48</v>
      </c>
      <c r="O298" s="6">
        <v>23659.78</v>
      </c>
      <c r="P298" s="37">
        <v>396690</v>
      </c>
    </row>
    <row r="299" spans="2:16" ht="15" thickBot="1">
      <c r="B299" s="9">
        <f t="shared" si="24"/>
        <v>5</v>
      </c>
      <c r="C299" s="15">
        <f t="shared" si="29"/>
        <v>5</v>
      </c>
      <c r="D299" s="25">
        <f t="shared" si="28"/>
        <v>42223</v>
      </c>
      <c r="E299" s="16">
        <f t="shared" si="25"/>
        <v>-1.6252930882199035E-4</v>
      </c>
      <c r="F299" s="17">
        <f t="shared" si="26"/>
        <v>-4.455486918070517E-3</v>
      </c>
      <c r="G299" s="18">
        <f t="shared" si="27"/>
        <v>-4.2929576092485267E-3</v>
      </c>
      <c r="J299" s="28"/>
      <c r="K299" s="8">
        <v>42223</v>
      </c>
      <c r="L299" s="7">
        <v>23705</v>
      </c>
      <c r="M299" s="6">
        <v>23807.22</v>
      </c>
      <c r="N299" s="6">
        <v>23866.98</v>
      </c>
      <c r="O299" s="6">
        <v>23705</v>
      </c>
      <c r="P299" s="37">
        <v>693320</v>
      </c>
    </row>
    <row r="300" spans="2:16" ht="15" thickBot="1">
      <c r="B300" s="9">
        <f t="shared" si="24"/>
        <v>4</v>
      </c>
      <c r="C300" s="15">
        <f t="shared" si="29"/>
        <v>4</v>
      </c>
      <c r="D300" s="25">
        <f t="shared" si="28"/>
        <v>42222</v>
      </c>
      <c r="E300" s="16">
        <f t="shared" si="25"/>
        <v>-2.4807825087268531E-3</v>
      </c>
      <c r="F300" s="17">
        <f t="shared" si="26"/>
        <v>-4.2121445428012771E-3</v>
      </c>
      <c r="G300" s="18">
        <f t="shared" si="27"/>
        <v>-1.731362034074424E-3</v>
      </c>
      <c r="J300" s="28"/>
      <c r="K300" s="8">
        <v>42222</v>
      </c>
      <c r="L300" s="7">
        <v>23811.09</v>
      </c>
      <c r="M300" s="6">
        <v>23852.49</v>
      </c>
      <c r="N300" s="6">
        <v>23970.560000000001</v>
      </c>
      <c r="O300" s="6">
        <v>23804.98</v>
      </c>
      <c r="P300" s="37">
        <v>660930</v>
      </c>
    </row>
    <row r="301" spans="2:16" ht="15" thickBot="1">
      <c r="B301" s="9">
        <f t="shared" si="24"/>
        <v>3</v>
      </c>
      <c r="C301" s="15">
        <f t="shared" si="29"/>
        <v>3</v>
      </c>
      <c r="D301" s="25">
        <f t="shared" si="28"/>
        <v>42221</v>
      </c>
      <c r="E301" s="16">
        <f t="shared" si="25"/>
        <v>4.5323932561531777E-3</v>
      </c>
      <c r="F301" s="17">
        <f t="shared" si="26"/>
        <v>1.8683394928269426E-2</v>
      </c>
      <c r="G301" s="18">
        <f t="shared" si="27"/>
        <v>1.4151001672116248E-2</v>
      </c>
      <c r="J301" s="28"/>
      <c r="K301" s="8">
        <v>42221</v>
      </c>
      <c r="L301" s="5">
        <v>23911.81</v>
      </c>
      <c r="M301" s="6">
        <v>23579.64</v>
      </c>
      <c r="N301" s="6">
        <v>23917.64</v>
      </c>
      <c r="O301" s="6">
        <v>23555.21</v>
      </c>
      <c r="P301" s="37">
        <v>639880</v>
      </c>
    </row>
    <row r="302" spans="2:16" ht="15" thickBot="1">
      <c r="B302" s="9">
        <f t="shared" si="24"/>
        <v>2</v>
      </c>
      <c r="C302" s="15">
        <f t="shared" si="29"/>
        <v>2</v>
      </c>
      <c r="D302" s="25">
        <f t="shared" si="28"/>
        <v>42220</v>
      </c>
      <c r="E302" s="16">
        <f t="shared" si="25"/>
        <v>-2.3977013103442246E-3</v>
      </c>
      <c r="F302" s="17">
        <f t="shared" si="26"/>
        <v>-1.0168092102766368E-2</v>
      </c>
      <c r="G302" s="18">
        <f t="shared" si="27"/>
        <v>-7.7703907924221438E-3</v>
      </c>
      <c r="J302" s="28"/>
      <c r="K302" s="8">
        <v>42220</v>
      </c>
      <c r="L302" s="7">
        <v>23473.25</v>
      </c>
      <c r="M302" s="6">
        <v>23657.52</v>
      </c>
      <c r="N302" s="6">
        <v>23662.05</v>
      </c>
      <c r="O302" s="6">
        <v>23341.759999999998</v>
      </c>
      <c r="P302" s="37">
        <v>508550</v>
      </c>
    </row>
    <row r="303" spans="2:16" ht="15" thickBot="1">
      <c r="B303" s="19">
        <v>1</v>
      </c>
      <c r="C303" s="15">
        <f t="shared" si="29"/>
        <v>1</v>
      </c>
      <c r="D303" s="25">
        <f t="shared" si="28"/>
        <v>42219</v>
      </c>
      <c r="E303" s="16">
        <f t="shared" si="25"/>
        <v>6.4236471786305316E-4</v>
      </c>
      <c r="F303" s="17">
        <f t="shared" si="26"/>
        <v>7.4921308197841707E-3</v>
      </c>
      <c r="G303" s="18">
        <f t="shared" si="27"/>
        <v>6.8497661019211176E-3</v>
      </c>
      <c r="J303" s="28"/>
      <c r="K303" s="8">
        <v>42219</v>
      </c>
      <c r="L303" s="5">
        <v>23714.38</v>
      </c>
      <c r="M303" s="6">
        <v>23553.15</v>
      </c>
      <c r="N303" s="6">
        <v>23748.68</v>
      </c>
      <c r="O303" s="6">
        <v>23478.05</v>
      </c>
      <c r="P303" s="37">
        <v>490360</v>
      </c>
    </row>
    <row r="304" spans="2:16" ht="15" thickBot="1">
      <c r="B304" s="9">
        <f t="shared" si="24"/>
        <v>23</v>
      </c>
      <c r="C304" s="15">
        <f t="shared" si="29"/>
        <v>5</v>
      </c>
      <c r="D304" s="25">
        <f t="shared" si="28"/>
        <v>42216</v>
      </c>
      <c r="E304" s="16">
        <f t="shared" si="25"/>
        <v>2.7051528695607452E-3</v>
      </c>
      <c r="F304" s="17">
        <f t="shared" si="26"/>
        <v>6.0668256960885181E-3</v>
      </c>
      <c r="G304" s="18">
        <f t="shared" si="27"/>
        <v>3.3616728265277729E-3</v>
      </c>
      <c r="J304" s="28"/>
      <c r="K304" s="8">
        <v>42216</v>
      </c>
      <c r="L304" s="5">
        <v>23538.03</v>
      </c>
      <c r="M304" s="6">
        <v>23459.38</v>
      </c>
      <c r="N304" s="6">
        <v>23538.03</v>
      </c>
      <c r="O304" s="6">
        <v>23293.35</v>
      </c>
      <c r="P304" s="37">
        <v>561610</v>
      </c>
    </row>
    <row r="305" spans="2:16" ht="15" thickBot="1">
      <c r="B305" s="9">
        <f t="shared" si="24"/>
        <v>22</v>
      </c>
      <c r="C305" s="15">
        <f t="shared" si="29"/>
        <v>4</v>
      </c>
      <c r="D305" s="25">
        <f t="shared" si="28"/>
        <v>42215</v>
      </c>
      <c r="E305" s="16">
        <f t="shared" si="25"/>
        <v>5.675537337250347E-3</v>
      </c>
      <c r="F305" s="17">
        <f t="shared" si="26"/>
        <v>6.3310522218253951E-3</v>
      </c>
      <c r="G305" s="18">
        <f t="shared" si="27"/>
        <v>6.5551488457504803E-4</v>
      </c>
      <c r="J305" s="28"/>
      <c r="K305" s="8">
        <v>42215</v>
      </c>
      <c r="L305" s="5">
        <v>23396.09</v>
      </c>
      <c r="M305" s="6">
        <v>23380.85</v>
      </c>
      <c r="N305" s="6">
        <v>23479.83</v>
      </c>
      <c r="O305" s="6">
        <v>23191.18</v>
      </c>
      <c r="P305" s="37">
        <v>680670</v>
      </c>
    </row>
    <row r="306" spans="2:16" ht="15" thickBot="1">
      <c r="B306" s="9">
        <f t="shared" si="24"/>
        <v>21</v>
      </c>
      <c r="C306" s="15">
        <f t="shared" si="29"/>
        <v>3</v>
      </c>
      <c r="D306" s="25">
        <f t="shared" si="28"/>
        <v>42214</v>
      </c>
      <c r="E306" s="16">
        <f t="shared" si="25"/>
        <v>4.1512310088898108E-3</v>
      </c>
      <c r="F306" s="17">
        <f t="shared" si="26"/>
        <v>-3.3916294653382195E-3</v>
      </c>
      <c r="G306" s="18">
        <f t="shared" si="27"/>
        <v>-7.5428604742280303E-3</v>
      </c>
      <c r="J306" s="28"/>
      <c r="K306" s="8">
        <v>42214</v>
      </c>
      <c r="L306" s="7">
        <v>23248.9</v>
      </c>
      <c r="M306" s="6">
        <v>23424.86</v>
      </c>
      <c r="N306" s="6">
        <v>23469.4</v>
      </c>
      <c r="O306" s="6">
        <v>23035.24</v>
      </c>
      <c r="P306" s="37">
        <v>632700</v>
      </c>
    </row>
    <row r="307" spans="2:16" ht="15" thickBot="1">
      <c r="B307" s="9">
        <f t="shared" si="24"/>
        <v>20</v>
      </c>
      <c r="C307" s="15">
        <f t="shared" si="29"/>
        <v>2</v>
      </c>
      <c r="D307" s="25">
        <f t="shared" si="28"/>
        <v>42213</v>
      </c>
      <c r="E307" s="16">
        <f t="shared" si="25"/>
        <v>7.4636222944151065E-3</v>
      </c>
      <c r="F307" s="17">
        <f t="shared" si="26"/>
        <v>2.274160101362166E-2</v>
      </c>
      <c r="G307" s="18">
        <f t="shared" si="27"/>
        <v>1.5277978719206553E-2</v>
      </c>
      <c r="J307" s="28"/>
      <c r="K307" s="8">
        <v>42213</v>
      </c>
      <c r="L307" s="5">
        <v>23328.02</v>
      </c>
      <c r="M307" s="6">
        <v>22979.54</v>
      </c>
      <c r="N307" s="6">
        <v>23328.02</v>
      </c>
      <c r="O307" s="6">
        <v>22951.01</v>
      </c>
      <c r="P307" s="37">
        <v>526930</v>
      </c>
    </row>
    <row r="308" spans="2:16" ht="15" thickBot="1">
      <c r="B308" s="9">
        <f t="shared" si="24"/>
        <v>19</v>
      </c>
      <c r="C308" s="15">
        <f t="shared" si="29"/>
        <v>1</v>
      </c>
      <c r="D308" s="25">
        <f t="shared" si="28"/>
        <v>42212</v>
      </c>
      <c r="E308" s="16">
        <f t="shared" si="25"/>
        <v>-5.1336370636004824E-3</v>
      </c>
      <c r="F308" s="17">
        <f t="shared" si="26"/>
        <v>-2.9709414362102726E-2</v>
      </c>
      <c r="G308" s="18">
        <f t="shared" si="27"/>
        <v>-2.4575777298502244E-2</v>
      </c>
      <c r="J308" s="28"/>
      <c r="K308" s="8">
        <v>42212</v>
      </c>
      <c r="L308" s="7">
        <v>22809.3</v>
      </c>
      <c r="M308" s="6">
        <v>23387.02</v>
      </c>
      <c r="N308" s="6">
        <v>23396.65</v>
      </c>
      <c r="O308" s="6">
        <v>22809.3</v>
      </c>
      <c r="P308" s="37">
        <v>662090</v>
      </c>
    </row>
    <row r="309" spans="2:16" ht="15" thickBot="1">
      <c r="B309" s="9">
        <f t="shared" si="24"/>
        <v>18</v>
      </c>
      <c r="C309" s="15">
        <f t="shared" si="29"/>
        <v>5</v>
      </c>
      <c r="D309" s="25">
        <f t="shared" si="28"/>
        <v>42209</v>
      </c>
      <c r="E309" s="16">
        <f t="shared" si="25"/>
        <v>-1.4077742822022898E-3</v>
      </c>
      <c r="F309" s="17">
        <f t="shared" si="26"/>
        <v>-5.3040128125654284E-3</v>
      </c>
      <c r="G309" s="18">
        <f t="shared" si="27"/>
        <v>-3.8962385303631386E-3</v>
      </c>
      <c r="J309" s="28"/>
      <c r="K309" s="8">
        <v>42209</v>
      </c>
      <c r="L309" s="7">
        <v>23507.7</v>
      </c>
      <c r="M309" s="6">
        <v>23599.78</v>
      </c>
      <c r="N309" s="6">
        <v>23813.85</v>
      </c>
      <c r="O309" s="6">
        <v>23491.59</v>
      </c>
      <c r="P309" s="37">
        <v>453810</v>
      </c>
    </row>
    <row r="310" spans="2:16" ht="15" thickBot="1">
      <c r="B310" s="9">
        <f t="shared" si="24"/>
        <v>17</v>
      </c>
      <c r="C310" s="15">
        <f t="shared" si="29"/>
        <v>4</v>
      </c>
      <c r="D310" s="25">
        <f t="shared" si="28"/>
        <v>42208</v>
      </c>
      <c r="E310" s="16">
        <f t="shared" si="25"/>
        <v>6.0643272211480248E-3</v>
      </c>
      <c r="F310" s="17">
        <f t="shared" si="26"/>
        <v>-2.0294656796071564E-3</v>
      </c>
      <c r="G310" s="18">
        <f t="shared" si="27"/>
        <v>-8.0937929007551812E-3</v>
      </c>
      <c r="J310" s="28"/>
      <c r="K310" s="8">
        <v>42208</v>
      </c>
      <c r="L310" s="7">
        <v>23633.05</v>
      </c>
      <c r="M310" s="6">
        <v>23824.720000000001</v>
      </c>
      <c r="N310" s="6">
        <v>23885.52</v>
      </c>
      <c r="O310" s="6">
        <v>23610.43</v>
      </c>
      <c r="P310" s="37">
        <v>451800</v>
      </c>
    </row>
    <row r="311" spans="2:16" ht="15" thickBot="1">
      <c r="B311" s="9">
        <f t="shared" si="24"/>
        <v>16</v>
      </c>
      <c r="C311" s="15">
        <f t="shared" si="29"/>
        <v>3</v>
      </c>
      <c r="D311" s="25">
        <f t="shared" si="28"/>
        <v>42207</v>
      </c>
      <c r="E311" s="16">
        <f t="shared" si="25"/>
        <v>-5.354047796768957E-3</v>
      </c>
      <c r="F311" s="17">
        <f t="shared" si="26"/>
        <v>-1.340620506138035E-3</v>
      </c>
      <c r="G311" s="18">
        <f t="shared" si="27"/>
        <v>4.0134272906309221E-3</v>
      </c>
      <c r="J311" s="28"/>
      <c r="K311" s="8">
        <v>42207</v>
      </c>
      <c r="L311" s="7">
        <v>23681.11</v>
      </c>
      <c r="M311" s="6">
        <v>23585.94</v>
      </c>
      <c r="N311" s="6">
        <v>23802.6</v>
      </c>
      <c r="O311" s="6">
        <v>23536.15</v>
      </c>
      <c r="P311" s="37">
        <v>447920</v>
      </c>
    </row>
    <row r="312" spans="2:16" ht="15" thickBot="1">
      <c r="B312" s="9">
        <f t="shared" si="24"/>
        <v>15</v>
      </c>
      <c r="C312" s="15">
        <f t="shared" si="29"/>
        <v>2</v>
      </c>
      <c r="D312" s="25">
        <f t="shared" si="28"/>
        <v>42206</v>
      </c>
      <c r="E312" s="16">
        <f t="shared" si="25"/>
        <v>1.6828130442148037E-3</v>
      </c>
      <c r="F312" s="17">
        <f t="shared" si="26"/>
        <v>-1.3244870520352836E-2</v>
      </c>
      <c r="G312" s="18">
        <f t="shared" si="27"/>
        <v>-1.492768356456764E-2</v>
      </c>
      <c r="J312" s="28"/>
      <c r="K312" s="8">
        <v>42206</v>
      </c>
      <c r="L312" s="7">
        <v>23712.9</v>
      </c>
      <c r="M312" s="6">
        <v>24071.63</v>
      </c>
      <c r="N312" s="6">
        <v>24121.03</v>
      </c>
      <c r="O312" s="6">
        <v>23699.94</v>
      </c>
      <c r="P312" s="37">
        <v>514910</v>
      </c>
    </row>
    <row r="313" spans="2:16" ht="15" thickBot="1">
      <c r="B313" s="9">
        <f t="shared" si="24"/>
        <v>14</v>
      </c>
      <c r="C313" s="15">
        <f t="shared" si="29"/>
        <v>1</v>
      </c>
      <c r="D313" s="25">
        <f t="shared" si="28"/>
        <v>42205</v>
      </c>
      <c r="E313" s="16">
        <f t="shared" si="25"/>
        <v>1.4066662430818333E-3</v>
      </c>
      <c r="F313" s="17">
        <f t="shared" si="26"/>
        <v>1.118348052905449E-2</v>
      </c>
      <c r="G313" s="18">
        <f t="shared" si="27"/>
        <v>9.776814285972657E-3</v>
      </c>
      <c r="J313" s="28"/>
      <c r="K313" s="8">
        <v>42205</v>
      </c>
      <c r="L313" s="5">
        <v>24031.19</v>
      </c>
      <c r="M313" s="6">
        <v>23798.84</v>
      </c>
      <c r="N313" s="6">
        <v>24157.39</v>
      </c>
      <c r="O313" s="6">
        <v>23797.8</v>
      </c>
      <c r="P313" s="37">
        <v>584310</v>
      </c>
    </row>
    <row r="314" spans="2:16" ht="15" thickBot="1">
      <c r="B314" s="9">
        <f t="shared" si="24"/>
        <v>13</v>
      </c>
      <c r="C314" s="15">
        <f t="shared" si="29"/>
        <v>5</v>
      </c>
      <c r="D314" s="25">
        <f t="shared" si="28"/>
        <v>42202</v>
      </c>
      <c r="E314" s="16">
        <f t="shared" si="25"/>
        <v>2.9054195535156424E-3</v>
      </c>
      <c r="F314" s="17">
        <f t="shared" si="26"/>
        <v>-7.4548608804381189E-4</v>
      </c>
      <c r="G314" s="18">
        <f t="shared" si="27"/>
        <v>-3.6509056415594543E-3</v>
      </c>
      <c r="J314" s="28"/>
      <c r="K314" s="8">
        <v>42202</v>
      </c>
      <c r="L314" s="7">
        <v>23765.41</v>
      </c>
      <c r="M314" s="6">
        <v>23852.240000000002</v>
      </c>
      <c r="N314" s="6">
        <v>23875.64</v>
      </c>
      <c r="O314" s="6">
        <v>23690.76</v>
      </c>
      <c r="P314" s="37">
        <v>493590</v>
      </c>
    </row>
    <row r="315" spans="2:16" ht="15" thickBot="1">
      <c r="B315" s="9">
        <f t="shared" si="24"/>
        <v>12</v>
      </c>
      <c r="C315" s="15">
        <f t="shared" si="29"/>
        <v>4</v>
      </c>
      <c r="D315" s="25">
        <f t="shared" si="28"/>
        <v>42201</v>
      </c>
      <c r="E315" s="16">
        <f t="shared" si="25"/>
        <v>5.2969402913296548E-3</v>
      </c>
      <c r="F315" s="17">
        <f t="shared" si="26"/>
        <v>1.668850391681187E-2</v>
      </c>
      <c r="G315" s="18">
        <f t="shared" si="27"/>
        <v>1.1391563625482215E-2</v>
      </c>
      <c r="J315" s="28"/>
      <c r="K315" s="8">
        <v>42201</v>
      </c>
      <c r="L315" s="5">
        <v>23783.14</v>
      </c>
      <c r="M315" s="6">
        <v>23516.66</v>
      </c>
      <c r="N315" s="6">
        <v>23784.54</v>
      </c>
      <c r="O315" s="6">
        <v>23484.83</v>
      </c>
      <c r="P315" s="37">
        <v>752370</v>
      </c>
    </row>
    <row r="316" spans="2:16" ht="15" thickBot="1">
      <c r="B316" s="9">
        <f t="shared" si="24"/>
        <v>11</v>
      </c>
      <c r="C316" s="15">
        <f t="shared" ref="C316:C379" si="30">WEEKDAY(D316,2)</f>
        <v>3</v>
      </c>
      <c r="D316" s="25">
        <f t="shared" ref="D316:D379" si="31">K316</f>
        <v>42200</v>
      </c>
      <c r="E316" s="16">
        <f t="shared" ref="E316:E379" si="32">M316/L317-1</f>
        <v>1.8802892606173405E-3</v>
      </c>
      <c r="F316" s="17">
        <f t="shared" ref="F316:F379" si="33">L316/L317-1</f>
        <v>1.2782330216547289E-2</v>
      </c>
      <c r="G316" s="18">
        <f t="shared" ref="G316:G379" si="34">F316-E316</f>
        <v>1.0902040955929948E-2</v>
      </c>
      <c r="J316" s="28"/>
      <c r="K316" s="8">
        <v>42200</v>
      </c>
      <c r="L316" s="5">
        <v>23392.75</v>
      </c>
      <c r="M316" s="6">
        <v>23140.94</v>
      </c>
      <c r="N316" s="6">
        <v>23392.75</v>
      </c>
      <c r="O316" s="6">
        <v>23113.22</v>
      </c>
      <c r="P316" s="37">
        <v>586180</v>
      </c>
    </row>
    <row r="317" spans="2:16" ht="15" thickBot="1">
      <c r="B317" s="9">
        <f t="shared" si="24"/>
        <v>10</v>
      </c>
      <c r="C317" s="15">
        <f t="shared" si="30"/>
        <v>2</v>
      </c>
      <c r="D317" s="25">
        <f t="shared" si="31"/>
        <v>42199</v>
      </c>
      <c r="E317" s="16">
        <f t="shared" si="32"/>
        <v>-1.7365187784024183E-3</v>
      </c>
      <c r="F317" s="17">
        <f t="shared" si="33"/>
        <v>-3.0012465986161141E-3</v>
      </c>
      <c r="G317" s="18">
        <f t="shared" si="34"/>
        <v>-1.2647278202136958E-3</v>
      </c>
      <c r="J317" s="28"/>
      <c r="K317" s="8">
        <v>42199</v>
      </c>
      <c r="L317" s="7">
        <v>23097.51</v>
      </c>
      <c r="M317" s="6">
        <v>23126.81</v>
      </c>
      <c r="N317" s="6">
        <v>23140.1</v>
      </c>
      <c r="O317" s="6">
        <v>22886.25</v>
      </c>
      <c r="P317" s="37">
        <v>483530</v>
      </c>
    </row>
    <row r="318" spans="2:16" ht="15" thickBot="1">
      <c r="B318" s="9">
        <f t="shared" si="24"/>
        <v>9</v>
      </c>
      <c r="C318" s="15">
        <f t="shared" si="30"/>
        <v>1</v>
      </c>
      <c r="D318" s="25">
        <f t="shared" si="31"/>
        <v>42198</v>
      </c>
      <c r="E318" s="16">
        <f t="shared" si="32"/>
        <v>7.0736003208733411E-3</v>
      </c>
      <c r="F318" s="17">
        <f t="shared" si="33"/>
        <v>1.0011596780803433E-2</v>
      </c>
      <c r="G318" s="18">
        <f t="shared" si="34"/>
        <v>2.9379964599300923E-3</v>
      </c>
      <c r="J318" s="28"/>
      <c r="K318" s="8">
        <v>42198</v>
      </c>
      <c r="L318" s="5">
        <v>23167.040000000001</v>
      </c>
      <c r="M318" s="6">
        <v>23099.65</v>
      </c>
      <c r="N318" s="6">
        <v>23340.11</v>
      </c>
      <c r="O318" s="6">
        <v>22870.66</v>
      </c>
      <c r="P318" s="37">
        <v>817440</v>
      </c>
    </row>
    <row r="319" spans="2:16" ht="15" thickBot="1">
      <c r="B319" s="9">
        <f t="shared" si="24"/>
        <v>8</v>
      </c>
      <c r="C319" s="15">
        <f t="shared" si="30"/>
        <v>5</v>
      </c>
      <c r="D319" s="25">
        <f t="shared" si="31"/>
        <v>42195</v>
      </c>
      <c r="E319" s="16">
        <f t="shared" si="32"/>
        <v>1.6068430263183497E-2</v>
      </c>
      <c r="F319" s="17">
        <f t="shared" si="33"/>
        <v>3.0037483423902334E-2</v>
      </c>
      <c r="G319" s="18">
        <f t="shared" si="34"/>
        <v>1.3969053160718836E-2</v>
      </c>
      <c r="J319" s="28"/>
      <c r="K319" s="8">
        <v>42195</v>
      </c>
      <c r="L319" s="5">
        <v>22937.4</v>
      </c>
      <c r="M319" s="6">
        <v>22626.33</v>
      </c>
      <c r="N319" s="6">
        <v>22948.77</v>
      </c>
      <c r="O319" s="6">
        <v>22554.77</v>
      </c>
      <c r="P319" s="37">
        <v>881660</v>
      </c>
    </row>
    <row r="320" spans="2:16" ht="15" thickBot="1">
      <c r="B320" s="9">
        <f t="shared" si="24"/>
        <v>7</v>
      </c>
      <c r="C320" s="15">
        <f t="shared" si="30"/>
        <v>4</v>
      </c>
      <c r="D320" s="25">
        <f t="shared" si="31"/>
        <v>42194</v>
      </c>
      <c r="E320" s="16">
        <f t="shared" si="32"/>
        <v>2.7156443333353764E-3</v>
      </c>
      <c r="F320" s="17">
        <f t="shared" si="33"/>
        <v>3.5148116968872323E-2</v>
      </c>
      <c r="G320" s="18">
        <f t="shared" si="34"/>
        <v>3.2432472635536946E-2</v>
      </c>
      <c r="J320" s="28"/>
      <c r="K320" s="8">
        <v>42194</v>
      </c>
      <c r="L320" s="5">
        <v>22268.51</v>
      </c>
      <c r="M320" s="6">
        <v>21570.81</v>
      </c>
      <c r="N320" s="6">
        <v>22337.119999999999</v>
      </c>
      <c r="O320" s="6">
        <v>21519.279999999999</v>
      </c>
      <c r="P320" s="37">
        <v>743350</v>
      </c>
    </row>
    <row r="321" spans="2:16" ht="15" thickBot="1">
      <c r="B321" s="9">
        <f t="shared" si="24"/>
        <v>6</v>
      </c>
      <c r="C321" s="15">
        <f t="shared" si="30"/>
        <v>3</v>
      </c>
      <c r="D321" s="25">
        <f t="shared" si="31"/>
        <v>42193</v>
      </c>
      <c r="E321" s="16">
        <f t="shared" si="32"/>
        <v>3.795599680892936E-3</v>
      </c>
      <c r="F321" s="17">
        <f t="shared" si="33"/>
        <v>2.6428920417892909E-2</v>
      </c>
      <c r="G321" s="18">
        <f t="shared" si="34"/>
        <v>2.2633320736999973E-2</v>
      </c>
      <c r="J321" s="28"/>
      <c r="K321" s="8">
        <v>42193</v>
      </c>
      <c r="L321" s="5">
        <v>21512.39</v>
      </c>
      <c r="M321" s="6">
        <v>21038.03</v>
      </c>
      <c r="N321" s="6">
        <v>21557.39</v>
      </c>
      <c r="O321" s="6">
        <v>20937.34</v>
      </c>
      <c r="P321" s="37">
        <v>859820</v>
      </c>
    </row>
    <row r="322" spans="2:16" ht="15" thickBot="1">
      <c r="B322" s="9">
        <f t="shared" si="24"/>
        <v>5</v>
      </c>
      <c r="C322" s="15">
        <f t="shared" si="30"/>
        <v>2</v>
      </c>
      <c r="D322" s="25">
        <f t="shared" si="31"/>
        <v>42192</v>
      </c>
      <c r="E322" s="16">
        <f t="shared" si="32"/>
        <v>6.108592676540292E-3</v>
      </c>
      <c r="F322" s="17">
        <f t="shared" si="33"/>
        <v>-2.9732342255258226E-2</v>
      </c>
      <c r="G322" s="18">
        <f t="shared" si="34"/>
        <v>-3.5840934931798518E-2</v>
      </c>
      <c r="J322" s="28"/>
      <c r="K322" s="8">
        <v>42192</v>
      </c>
      <c r="L322" s="7">
        <v>20958.48</v>
      </c>
      <c r="M322" s="6">
        <v>21732.67</v>
      </c>
      <c r="N322" s="6">
        <v>21858.91</v>
      </c>
      <c r="O322" s="6">
        <v>20958.48</v>
      </c>
      <c r="P322" s="37">
        <v>867280</v>
      </c>
    </row>
    <row r="323" spans="2:16" ht="15" thickBot="1">
      <c r="B323" s="9">
        <f t="shared" si="24"/>
        <v>4</v>
      </c>
      <c r="C323" s="15">
        <f t="shared" si="30"/>
        <v>1</v>
      </c>
      <c r="D323" s="25">
        <f t="shared" si="31"/>
        <v>42191</v>
      </c>
      <c r="E323" s="16">
        <f t="shared" si="32"/>
        <v>-2.8172487008027769E-2</v>
      </c>
      <c r="F323" s="17">
        <f t="shared" si="33"/>
        <v>-4.0314766264456403E-2</v>
      </c>
      <c r="G323" s="18">
        <f t="shared" si="34"/>
        <v>-1.2142279256428634E-2</v>
      </c>
      <c r="J323" s="28"/>
      <c r="K323" s="8">
        <v>42191</v>
      </c>
      <c r="L323" s="7">
        <v>21600.720000000001</v>
      </c>
      <c r="M323" s="6">
        <v>21874.02</v>
      </c>
      <c r="N323" s="6">
        <v>22065.93</v>
      </c>
      <c r="O323" s="6">
        <v>21600.720000000001</v>
      </c>
      <c r="P323" s="37">
        <v>1040000</v>
      </c>
    </row>
    <row r="324" spans="2:16" ht="15" thickBot="1">
      <c r="B324" s="9">
        <f t="shared" si="24"/>
        <v>3</v>
      </c>
      <c r="C324" s="15">
        <f t="shared" si="30"/>
        <v>5</v>
      </c>
      <c r="D324" s="25">
        <f t="shared" si="31"/>
        <v>42188</v>
      </c>
      <c r="E324" s="16">
        <f t="shared" si="32"/>
        <v>-2.3699511418662222E-4</v>
      </c>
      <c r="F324" s="17">
        <f t="shared" si="33"/>
        <v>-4.7916344261932364E-3</v>
      </c>
      <c r="G324" s="18">
        <f t="shared" si="34"/>
        <v>-4.5546393120066142E-3</v>
      </c>
      <c r="J324" s="28"/>
      <c r="K324" s="8">
        <v>42188</v>
      </c>
      <c r="L324" s="7">
        <v>22508.13</v>
      </c>
      <c r="M324" s="6">
        <v>22611.14</v>
      </c>
      <c r="N324" s="6">
        <v>22709.01</v>
      </c>
      <c r="O324" s="6">
        <v>22332.75</v>
      </c>
      <c r="P324" s="37">
        <v>454830</v>
      </c>
    </row>
    <row r="325" spans="2:16" ht="15" thickBot="1">
      <c r="B325" s="9">
        <f t="shared" si="24"/>
        <v>2</v>
      </c>
      <c r="C325" s="15">
        <f t="shared" si="30"/>
        <v>4</v>
      </c>
      <c r="D325" s="25">
        <f t="shared" si="31"/>
        <v>42187</v>
      </c>
      <c r="E325" s="16">
        <f t="shared" si="32"/>
        <v>7.6273860642861457E-4</v>
      </c>
      <c r="F325" s="17">
        <f t="shared" si="33"/>
        <v>-1.4258417583260519E-2</v>
      </c>
      <c r="G325" s="18">
        <f t="shared" si="34"/>
        <v>-1.5021156189689133E-2</v>
      </c>
      <c r="J325" s="28"/>
      <c r="K325" s="8">
        <v>42187</v>
      </c>
      <c r="L325" s="7">
        <v>22616.5</v>
      </c>
      <c r="M325" s="6">
        <v>22961.14</v>
      </c>
      <c r="N325" s="6">
        <v>23049.7</v>
      </c>
      <c r="O325" s="6">
        <v>22616.5</v>
      </c>
      <c r="P325" s="37">
        <v>539640</v>
      </c>
    </row>
    <row r="326" spans="2:16" ht="15" thickBot="1">
      <c r="B326" s="19">
        <v>1</v>
      </c>
      <c r="C326" s="15">
        <f t="shared" si="30"/>
        <v>3</v>
      </c>
      <c r="D326" s="25">
        <f t="shared" si="31"/>
        <v>42186</v>
      </c>
      <c r="E326" s="16">
        <f t="shared" si="32"/>
        <v>7.2433151044648536E-3</v>
      </c>
      <c r="F326" s="17">
        <f t="shared" si="33"/>
        <v>2.1501101256371724E-2</v>
      </c>
      <c r="G326" s="18">
        <f t="shared" si="34"/>
        <v>1.425778615190687E-2</v>
      </c>
      <c r="J326" s="28"/>
      <c r="K326" s="8">
        <v>42186</v>
      </c>
      <c r="L326" s="5">
        <v>22943.64</v>
      </c>
      <c r="M326" s="6">
        <v>22623.4</v>
      </c>
      <c r="N326" s="6">
        <v>23127.42</v>
      </c>
      <c r="O326" s="6">
        <v>22568.26</v>
      </c>
      <c r="P326" s="37">
        <v>776490</v>
      </c>
    </row>
    <row r="327" spans="2:16" ht="15" thickBot="1">
      <c r="B327" s="9">
        <f t="shared" ref="B327:B389" si="35">B328+1</f>
        <v>22</v>
      </c>
      <c r="C327" s="15">
        <f t="shared" si="30"/>
        <v>2</v>
      </c>
      <c r="D327" s="25">
        <f t="shared" si="31"/>
        <v>42185</v>
      </c>
      <c r="E327" s="16">
        <f t="shared" si="32"/>
        <v>-5.0358995035434395E-3</v>
      </c>
      <c r="F327" s="17">
        <f t="shared" si="33"/>
        <v>-4.8400638902612592E-3</v>
      </c>
      <c r="G327" s="18">
        <f t="shared" si="34"/>
        <v>1.9583561328218035E-4</v>
      </c>
      <c r="J327" s="28"/>
      <c r="K327" s="8">
        <v>42185</v>
      </c>
      <c r="L327" s="7">
        <v>22460.71</v>
      </c>
      <c r="M327" s="6">
        <v>22456.29</v>
      </c>
      <c r="N327" s="6">
        <v>22862.19</v>
      </c>
      <c r="O327" s="6">
        <v>22337.79</v>
      </c>
      <c r="P327" s="37">
        <v>877310</v>
      </c>
    </row>
    <row r="328" spans="2:16" ht="15" thickBot="1">
      <c r="B328" s="9">
        <f t="shared" si="35"/>
        <v>21</v>
      </c>
      <c r="C328" s="15">
        <f t="shared" si="30"/>
        <v>1</v>
      </c>
      <c r="D328" s="25">
        <f t="shared" si="31"/>
        <v>42184</v>
      </c>
      <c r="E328" s="16">
        <f t="shared" si="32"/>
        <v>-1.9459699745425274E-2</v>
      </c>
      <c r="F328" s="17">
        <f t="shared" si="33"/>
        <v>-5.1701500012394708E-2</v>
      </c>
      <c r="G328" s="18">
        <f t="shared" si="34"/>
        <v>-3.2241800266969434E-2</v>
      </c>
      <c r="J328" s="28"/>
      <c r="K328" s="8">
        <v>42184</v>
      </c>
      <c r="L328" s="7">
        <v>22569.95</v>
      </c>
      <c r="M328" s="6">
        <v>23337.32</v>
      </c>
      <c r="N328" s="6">
        <v>23400.38</v>
      </c>
      <c r="O328" s="6">
        <v>22569.95</v>
      </c>
      <c r="P328" s="37">
        <v>1040000</v>
      </c>
    </row>
    <row r="329" spans="2:16" ht="15" thickBot="1">
      <c r="B329" s="9">
        <f t="shared" si="35"/>
        <v>20</v>
      </c>
      <c r="C329" s="15">
        <f t="shared" si="30"/>
        <v>5</v>
      </c>
      <c r="D329" s="25">
        <f t="shared" si="31"/>
        <v>42181</v>
      </c>
      <c r="E329" s="16">
        <f t="shared" si="32"/>
        <v>-5.2862161638600469E-3</v>
      </c>
      <c r="F329" s="17">
        <f t="shared" si="33"/>
        <v>6.6765020120445051E-3</v>
      </c>
      <c r="G329" s="18">
        <f t="shared" si="34"/>
        <v>1.1962718175904552E-2</v>
      </c>
      <c r="J329" s="28"/>
      <c r="K329" s="8">
        <v>42181</v>
      </c>
      <c r="L329" s="5">
        <v>23800.47</v>
      </c>
      <c r="M329" s="6">
        <v>23517.64</v>
      </c>
      <c r="N329" s="6">
        <v>23849.64</v>
      </c>
      <c r="O329" s="6">
        <v>23405.14</v>
      </c>
      <c r="P329" s="37">
        <v>640430</v>
      </c>
    </row>
    <row r="330" spans="2:16" ht="15" thickBot="1">
      <c r="B330" s="9">
        <f t="shared" si="35"/>
        <v>19</v>
      </c>
      <c r="C330" s="15">
        <f t="shared" si="30"/>
        <v>4</v>
      </c>
      <c r="D330" s="25">
        <f t="shared" si="31"/>
        <v>42180</v>
      </c>
      <c r="E330" s="16">
        <f t="shared" si="32"/>
        <v>-6.9223015586268311E-3</v>
      </c>
      <c r="F330" s="17">
        <f t="shared" si="33"/>
        <v>8.512110401922568E-3</v>
      </c>
      <c r="G330" s="18">
        <f t="shared" si="34"/>
        <v>1.5434411960549399E-2</v>
      </c>
      <c r="J330" s="28"/>
      <c r="K330" s="8">
        <v>42180</v>
      </c>
      <c r="L330" s="5">
        <v>23642.62</v>
      </c>
      <c r="M330" s="6">
        <v>23280.79</v>
      </c>
      <c r="N330" s="6">
        <v>23815.59</v>
      </c>
      <c r="O330" s="6">
        <v>23280.79</v>
      </c>
      <c r="P330" s="37">
        <v>906960</v>
      </c>
    </row>
    <row r="331" spans="2:16" ht="15" thickBot="1">
      <c r="B331" s="9">
        <f t="shared" si="35"/>
        <v>18</v>
      </c>
      <c r="C331" s="15">
        <f t="shared" si="30"/>
        <v>3</v>
      </c>
      <c r="D331" s="25">
        <f t="shared" si="31"/>
        <v>42179</v>
      </c>
      <c r="E331" s="16">
        <f t="shared" si="32"/>
        <v>2.9201540273047222E-3</v>
      </c>
      <c r="F331" s="17">
        <f t="shared" si="33"/>
        <v>-5.2691765055320472E-3</v>
      </c>
      <c r="G331" s="18">
        <f t="shared" si="34"/>
        <v>-8.1893305328367694E-3</v>
      </c>
      <c r="J331" s="28"/>
      <c r="K331" s="8">
        <v>42179</v>
      </c>
      <c r="L331" s="7">
        <v>23443.07</v>
      </c>
      <c r="M331" s="6">
        <v>23636.07</v>
      </c>
      <c r="N331" s="6">
        <v>23704.799999999999</v>
      </c>
      <c r="O331" s="6">
        <v>23240.560000000001</v>
      </c>
      <c r="P331" s="37">
        <v>702780</v>
      </c>
    </row>
    <row r="332" spans="2:16" ht="15" thickBot="1">
      <c r="B332" s="9">
        <f t="shared" si="35"/>
        <v>17</v>
      </c>
      <c r="C332" s="15">
        <f t="shared" si="30"/>
        <v>2</v>
      </c>
      <c r="D332" s="25">
        <f t="shared" si="31"/>
        <v>42178</v>
      </c>
      <c r="E332" s="16">
        <f t="shared" si="32"/>
        <v>5.1911887745650365E-3</v>
      </c>
      <c r="F332" s="17">
        <f t="shared" si="33"/>
        <v>3.461644089338467E-3</v>
      </c>
      <c r="G332" s="18">
        <f t="shared" si="34"/>
        <v>-1.7295446852265695E-3</v>
      </c>
      <c r="J332" s="28"/>
      <c r="K332" s="8">
        <v>42178</v>
      </c>
      <c r="L332" s="5">
        <v>23567.25</v>
      </c>
      <c r="M332" s="6">
        <v>23607.87</v>
      </c>
      <c r="N332" s="6">
        <v>23731.87</v>
      </c>
      <c r="O332" s="6">
        <v>23520.57</v>
      </c>
      <c r="P332" s="37">
        <v>781030</v>
      </c>
    </row>
    <row r="333" spans="2:16" ht="15" thickBot="1">
      <c r="B333" s="9">
        <f t="shared" si="35"/>
        <v>16</v>
      </c>
      <c r="C333" s="15">
        <f t="shared" si="30"/>
        <v>1</v>
      </c>
      <c r="D333" s="25">
        <f t="shared" si="31"/>
        <v>42177</v>
      </c>
      <c r="E333" s="16">
        <f t="shared" si="32"/>
        <v>1.832473764690401E-2</v>
      </c>
      <c r="F333" s="17">
        <f t="shared" si="33"/>
        <v>3.4652063030824243E-2</v>
      </c>
      <c r="G333" s="18">
        <f t="shared" si="34"/>
        <v>1.6327325383920233E-2</v>
      </c>
      <c r="J333" s="28"/>
      <c r="K333" s="8">
        <v>42177</v>
      </c>
      <c r="L333" s="5">
        <v>23485.95</v>
      </c>
      <c r="M333" s="6">
        <v>23115.33</v>
      </c>
      <c r="N333" s="6">
        <v>23485.95</v>
      </c>
      <c r="O333" s="6">
        <v>22987.33</v>
      </c>
      <c r="P333" s="37">
        <v>907630</v>
      </c>
    </row>
    <row r="334" spans="2:16" ht="15" thickBot="1">
      <c r="B334" s="9">
        <f t="shared" si="35"/>
        <v>15</v>
      </c>
      <c r="C334" s="15">
        <f t="shared" si="30"/>
        <v>5</v>
      </c>
      <c r="D334" s="25">
        <f t="shared" si="31"/>
        <v>42174</v>
      </c>
      <c r="E334" s="16">
        <f t="shared" si="32"/>
        <v>-2.131787950322428E-3</v>
      </c>
      <c r="F334" s="17">
        <f t="shared" si="33"/>
        <v>1.0656713573719001E-2</v>
      </c>
      <c r="G334" s="18">
        <f t="shared" si="34"/>
        <v>1.2788501524041429E-2</v>
      </c>
      <c r="J334" s="28"/>
      <c r="K334" s="8">
        <v>42174</v>
      </c>
      <c r="L334" s="5">
        <v>22699.37</v>
      </c>
      <c r="M334" s="6">
        <v>22412.14</v>
      </c>
      <c r="N334" s="6">
        <v>22750.06</v>
      </c>
      <c r="O334" s="6">
        <v>22349.68</v>
      </c>
      <c r="P334" s="37">
        <v>841450</v>
      </c>
    </row>
    <row r="335" spans="2:16" ht="15" thickBot="1">
      <c r="B335" s="9">
        <f t="shared" si="35"/>
        <v>14</v>
      </c>
      <c r="C335" s="15">
        <f t="shared" si="30"/>
        <v>4</v>
      </c>
      <c r="D335" s="25">
        <f t="shared" si="31"/>
        <v>42173</v>
      </c>
      <c r="E335" s="16">
        <f t="shared" si="32"/>
        <v>-4.2744541522088397E-5</v>
      </c>
      <c r="F335" s="17">
        <f t="shared" si="33"/>
        <v>1.0571849974758241E-2</v>
      </c>
      <c r="G335" s="18">
        <f t="shared" si="34"/>
        <v>1.0614594516280329E-2</v>
      </c>
      <c r="J335" s="28"/>
      <c r="K335" s="8">
        <v>42173</v>
      </c>
      <c r="L335" s="5">
        <v>22460.02</v>
      </c>
      <c r="M335" s="6">
        <v>22224.11</v>
      </c>
      <c r="N335" s="6">
        <v>22460.02</v>
      </c>
      <c r="O335" s="6">
        <v>21855.05</v>
      </c>
      <c r="P335" s="37">
        <v>858550</v>
      </c>
    </row>
    <row r="336" spans="2:16" ht="15" thickBot="1">
      <c r="B336" s="9">
        <f t="shared" si="35"/>
        <v>13</v>
      </c>
      <c r="C336" s="15">
        <f t="shared" si="30"/>
        <v>3</v>
      </c>
      <c r="D336" s="25">
        <f t="shared" si="31"/>
        <v>42172</v>
      </c>
      <c r="E336" s="16">
        <f t="shared" si="32"/>
        <v>1.132978428734166E-3</v>
      </c>
      <c r="F336" s="17">
        <f t="shared" si="33"/>
        <v>-7.0775411151438039E-3</v>
      </c>
      <c r="G336" s="18">
        <f t="shared" si="34"/>
        <v>-8.2105195438779699E-3</v>
      </c>
      <c r="J336" s="28"/>
      <c r="K336" s="8">
        <v>42172</v>
      </c>
      <c r="L336" s="7">
        <v>22225.06</v>
      </c>
      <c r="M336" s="6">
        <v>22408.84</v>
      </c>
      <c r="N336" s="6">
        <v>22565.64</v>
      </c>
      <c r="O336" s="6">
        <v>22210.93</v>
      </c>
      <c r="P336" s="37">
        <v>707350</v>
      </c>
    </row>
    <row r="337" spans="2:16" ht="15" thickBot="1">
      <c r="B337" s="9">
        <f t="shared" si="35"/>
        <v>12</v>
      </c>
      <c r="C337" s="15">
        <f t="shared" si="30"/>
        <v>2</v>
      </c>
      <c r="D337" s="25">
        <f t="shared" si="31"/>
        <v>42171</v>
      </c>
      <c r="E337" s="16">
        <f t="shared" si="32"/>
        <v>-6.1232450870049027E-3</v>
      </c>
      <c r="F337" s="17">
        <f t="shared" si="33"/>
        <v>2.4834255417967022E-3</v>
      </c>
      <c r="G337" s="18">
        <f t="shared" si="34"/>
        <v>8.6066706288016048E-3</v>
      </c>
      <c r="J337" s="28"/>
      <c r="K337" s="8">
        <v>42171</v>
      </c>
      <c r="L337" s="5">
        <v>22383.48</v>
      </c>
      <c r="M337" s="6">
        <v>22191.31</v>
      </c>
      <c r="N337" s="6">
        <v>22446.28</v>
      </c>
      <c r="O337" s="6">
        <v>21986.65</v>
      </c>
      <c r="P337" s="37">
        <v>751700</v>
      </c>
    </row>
    <row r="338" spans="2:16" ht="15" thickBot="1">
      <c r="B338" s="9">
        <f t="shared" si="35"/>
        <v>11</v>
      </c>
      <c r="C338" s="15">
        <f t="shared" si="30"/>
        <v>1</v>
      </c>
      <c r="D338" s="25">
        <f t="shared" si="31"/>
        <v>42170</v>
      </c>
      <c r="E338" s="16">
        <f t="shared" si="32"/>
        <v>-1.231892388301159E-2</v>
      </c>
      <c r="F338" s="17">
        <f t="shared" si="33"/>
        <v>-2.4031146337870735E-2</v>
      </c>
      <c r="G338" s="18">
        <f t="shared" si="34"/>
        <v>-1.1712222454859145E-2</v>
      </c>
      <c r="J338" s="28"/>
      <c r="K338" s="8">
        <v>42170</v>
      </c>
      <c r="L338" s="7">
        <v>22328.03</v>
      </c>
      <c r="M338" s="6">
        <v>22595.98</v>
      </c>
      <c r="N338" s="6">
        <v>22656.31</v>
      </c>
      <c r="O338" s="6">
        <v>22287.89</v>
      </c>
      <c r="P338" s="37">
        <v>657120</v>
      </c>
    </row>
    <row r="339" spans="2:16" ht="15" thickBot="1">
      <c r="B339" s="9">
        <f t="shared" si="35"/>
        <v>10</v>
      </c>
      <c r="C339" s="15">
        <f t="shared" si="30"/>
        <v>5</v>
      </c>
      <c r="D339" s="25">
        <f t="shared" si="31"/>
        <v>42167</v>
      </c>
      <c r="E339" s="16">
        <f t="shared" si="32"/>
        <v>-6.5465982287515878E-4</v>
      </c>
      <c r="F339" s="17">
        <f t="shared" si="33"/>
        <v>-1.2710412500420709E-2</v>
      </c>
      <c r="G339" s="18">
        <f t="shared" si="34"/>
        <v>-1.205575267754555E-2</v>
      </c>
      <c r="J339" s="28"/>
      <c r="K339" s="8">
        <v>42167</v>
      </c>
      <c r="L339" s="7">
        <v>22877.81</v>
      </c>
      <c r="M339" s="6">
        <v>23157.17</v>
      </c>
      <c r="N339" s="6">
        <v>23303.81</v>
      </c>
      <c r="O339" s="6">
        <v>22678.54</v>
      </c>
      <c r="P339" s="37">
        <v>603900</v>
      </c>
    </row>
    <row r="340" spans="2:16" ht="15" thickBot="1">
      <c r="B340" s="9">
        <f t="shared" si="35"/>
        <v>9</v>
      </c>
      <c r="C340" s="15">
        <f t="shared" si="30"/>
        <v>4</v>
      </c>
      <c r="D340" s="25">
        <f t="shared" si="31"/>
        <v>42166</v>
      </c>
      <c r="E340" s="16">
        <f t="shared" si="32"/>
        <v>-3.1838569100565151E-3</v>
      </c>
      <c r="F340" s="17">
        <f t="shared" si="33"/>
        <v>3.5012898691249017E-3</v>
      </c>
      <c r="G340" s="18">
        <f t="shared" si="34"/>
        <v>6.6851467791814168E-3</v>
      </c>
      <c r="J340" s="28"/>
      <c r="K340" s="8">
        <v>42166</v>
      </c>
      <c r="L340" s="5">
        <v>23172.34</v>
      </c>
      <c r="M340" s="6">
        <v>23017.97</v>
      </c>
      <c r="N340" s="6">
        <v>23436.02</v>
      </c>
      <c r="O340" s="6">
        <v>23001.82</v>
      </c>
      <c r="P340" s="37">
        <v>702050</v>
      </c>
    </row>
    <row r="341" spans="2:16" ht="15" thickBot="1">
      <c r="B341" s="9">
        <f t="shared" si="35"/>
        <v>8</v>
      </c>
      <c r="C341" s="15">
        <f t="shared" si="30"/>
        <v>3</v>
      </c>
      <c r="D341" s="25">
        <f t="shared" si="31"/>
        <v>42165</v>
      </c>
      <c r="E341" s="16">
        <f t="shared" si="32"/>
        <v>-8.3941997899450449E-4</v>
      </c>
      <c r="F341" s="17">
        <f t="shared" si="33"/>
        <v>2.5037443191553876E-2</v>
      </c>
      <c r="G341" s="18">
        <f t="shared" si="34"/>
        <v>2.5876863170548381E-2</v>
      </c>
      <c r="J341" s="28"/>
      <c r="K341" s="8">
        <v>42165</v>
      </c>
      <c r="L341" s="5">
        <v>23091.49</v>
      </c>
      <c r="M341" s="6">
        <v>22508.55</v>
      </c>
      <c r="N341" s="6">
        <v>23155.72</v>
      </c>
      <c r="O341" s="6">
        <v>22416.36</v>
      </c>
      <c r="P341" s="37">
        <v>601780</v>
      </c>
    </row>
    <row r="342" spans="2:16" ht="15" thickBot="1">
      <c r="B342" s="9">
        <f t="shared" si="35"/>
        <v>7</v>
      </c>
      <c r="C342" s="15">
        <f t="shared" si="30"/>
        <v>2</v>
      </c>
      <c r="D342" s="25">
        <f t="shared" si="31"/>
        <v>42164</v>
      </c>
      <c r="E342" s="16">
        <f t="shared" si="32"/>
        <v>-9.0891866502906815E-4</v>
      </c>
      <c r="F342" s="17">
        <f t="shared" si="33"/>
        <v>-5.0714834939399323E-3</v>
      </c>
      <c r="G342" s="18">
        <f t="shared" si="34"/>
        <v>-4.1625648289108641E-3</v>
      </c>
      <c r="J342" s="28"/>
      <c r="K342" s="8">
        <v>42164</v>
      </c>
      <c r="L342" s="7">
        <v>22527.46</v>
      </c>
      <c r="M342" s="6">
        <v>22621.71</v>
      </c>
      <c r="N342" s="6">
        <v>22758.27</v>
      </c>
      <c r="O342" s="6">
        <v>22303.96</v>
      </c>
      <c r="P342" s="37">
        <v>518300</v>
      </c>
    </row>
    <row r="343" spans="2:16" ht="15" thickBot="1">
      <c r="B343" s="9">
        <f t="shared" si="35"/>
        <v>6</v>
      </c>
      <c r="C343" s="15">
        <f t="shared" si="30"/>
        <v>1</v>
      </c>
      <c r="D343" s="25">
        <f t="shared" si="31"/>
        <v>42163</v>
      </c>
      <c r="E343" s="16">
        <f t="shared" si="32"/>
        <v>4.6963891639029143E-4</v>
      </c>
      <c r="F343" s="17">
        <f t="shared" si="33"/>
        <v>-8.9747865615865674E-3</v>
      </c>
      <c r="G343" s="18">
        <f t="shared" si="34"/>
        <v>-9.4444254779768588E-3</v>
      </c>
      <c r="J343" s="28"/>
      <c r="K343" s="8">
        <v>42163</v>
      </c>
      <c r="L343" s="7">
        <v>22642.29</v>
      </c>
      <c r="M343" s="6">
        <v>22858.07</v>
      </c>
      <c r="N343" s="6">
        <v>22959.41</v>
      </c>
      <c r="O343" s="6">
        <v>22642.29</v>
      </c>
      <c r="P343" s="37">
        <v>413180</v>
      </c>
    </row>
    <row r="344" spans="2:16" ht="15" thickBot="1">
      <c r="B344" s="9">
        <f t="shared" si="35"/>
        <v>5</v>
      </c>
      <c r="C344" s="15">
        <f t="shared" si="30"/>
        <v>5</v>
      </c>
      <c r="D344" s="25">
        <f t="shared" si="31"/>
        <v>42160</v>
      </c>
      <c r="E344" s="16">
        <f t="shared" si="32"/>
        <v>-9.939365371842479E-3</v>
      </c>
      <c r="F344" s="17">
        <f t="shared" si="33"/>
        <v>-2.0961155271784548E-2</v>
      </c>
      <c r="G344" s="18">
        <f t="shared" si="34"/>
        <v>-1.1021789899942069E-2</v>
      </c>
      <c r="J344" s="28"/>
      <c r="K344" s="8">
        <v>42160</v>
      </c>
      <c r="L344" s="7">
        <v>22847.34</v>
      </c>
      <c r="M344" s="6">
        <v>23104.55</v>
      </c>
      <c r="N344" s="6">
        <v>23250.63</v>
      </c>
      <c r="O344" s="6">
        <v>22805.03</v>
      </c>
      <c r="P344" s="37">
        <v>650600</v>
      </c>
    </row>
    <row r="345" spans="2:16" ht="15" thickBot="1">
      <c r="B345" s="9">
        <f t="shared" si="35"/>
        <v>4</v>
      </c>
      <c r="C345" s="15">
        <f t="shared" si="30"/>
        <v>4</v>
      </c>
      <c r="D345" s="25">
        <f t="shared" si="31"/>
        <v>42159</v>
      </c>
      <c r="E345" s="16">
        <f t="shared" si="32"/>
        <v>-5.4505030533067433E-3</v>
      </c>
      <c r="F345" s="17">
        <f t="shared" si="33"/>
        <v>-1.153509089607585E-2</v>
      </c>
      <c r="G345" s="18">
        <f t="shared" si="34"/>
        <v>-6.0845878427691069E-3</v>
      </c>
      <c r="J345" s="28"/>
      <c r="K345" s="8">
        <v>42159</v>
      </c>
      <c r="L345" s="7">
        <v>23336.5</v>
      </c>
      <c r="M345" s="6">
        <v>23480.15</v>
      </c>
      <c r="N345" s="6">
        <v>23564.36</v>
      </c>
      <c r="O345" s="6">
        <v>23217.09</v>
      </c>
      <c r="P345" s="37">
        <v>689820</v>
      </c>
    </row>
    <row r="346" spans="2:16" ht="15" thickBot="1">
      <c r="B346" s="9">
        <f t="shared" si="35"/>
        <v>3</v>
      </c>
      <c r="C346" s="15">
        <f t="shared" si="30"/>
        <v>3</v>
      </c>
      <c r="D346" s="25">
        <f t="shared" si="31"/>
        <v>42158</v>
      </c>
      <c r="E346" s="16">
        <f t="shared" si="32"/>
        <v>5.7176401924663445E-4</v>
      </c>
      <c r="F346" s="17">
        <f t="shared" si="33"/>
        <v>1.3857218478328104E-3</v>
      </c>
      <c r="G346" s="18">
        <f t="shared" si="34"/>
        <v>8.1395782858617594E-4</v>
      </c>
      <c r="J346" s="28"/>
      <c r="K346" s="8">
        <v>42158</v>
      </c>
      <c r="L346" s="5">
        <v>23608.83</v>
      </c>
      <c r="M346" s="6">
        <v>23589.64</v>
      </c>
      <c r="N346" s="6">
        <v>23796.94</v>
      </c>
      <c r="O346" s="6">
        <v>23473.439999999999</v>
      </c>
      <c r="P346" s="37">
        <v>708320</v>
      </c>
    </row>
    <row r="347" spans="2:16" ht="15" thickBot="1">
      <c r="B347" s="9">
        <f t="shared" si="35"/>
        <v>2</v>
      </c>
      <c r="C347" s="15">
        <f t="shared" si="30"/>
        <v>2</v>
      </c>
      <c r="D347" s="25">
        <f t="shared" si="31"/>
        <v>42157</v>
      </c>
      <c r="E347" s="16">
        <f t="shared" si="32"/>
        <v>3.6252430589782669E-3</v>
      </c>
      <c r="F347" s="17">
        <f t="shared" si="33"/>
        <v>5.9947080668059094E-3</v>
      </c>
      <c r="G347" s="18">
        <f t="shared" si="34"/>
        <v>2.3694650078276425E-3</v>
      </c>
      <c r="J347" s="28"/>
      <c r="K347" s="8">
        <v>42157</v>
      </c>
      <c r="L347" s="5">
        <v>23576.16</v>
      </c>
      <c r="M347" s="6">
        <v>23520.63</v>
      </c>
      <c r="N347" s="6">
        <v>23717.7</v>
      </c>
      <c r="O347" s="6">
        <v>23264.639999999999</v>
      </c>
      <c r="P347" s="37">
        <v>663400</v>
      </c>
    </row>
    <row r="348" spans="2:16" ht="15" thickBot="1">
      <c r="B348" s="19">
        <v>1</v>
      </c>
      <c r="C348" s="15">
        <f t="shared" si="30"/>
        <v>1</v>
      </c>
      <c r="D348" s="25">
        <f t="shared" si="31"/>
        <v>42156</v>
      </c>
      <c r="E348" s="16">
        <f t="shared" si="32"/>
        <v>3.7002546851165885E-3</v>
      </c>
      <c r="F348" s="17">
        <f t="shared" si="33"/>
        <v>-2.5540865384616751E-3</v>
      </c>
      <c r="G348" s="18">
        <f t="shared" si="34"/>
        <v>-6.2543412235782636E-3</v>
      </c>
      <c r="J348" s="28"/>
      <c r="K348" s="8">
        <v>42156</v>
      </c>
      <c r="L348" s="7">
        <v>23435.67</v>
      </c>
      <c r="M348" s="6">
        <v>23582.62</v>
      </c>
      <c r="N348" s="6">
        <v>23704.720000000001</v>
      </c>
      <c r="O348" s="6">
        <v>23379.45</v>
      </c>
      <c r="P348" s="37">
        <v>521810</v>
      </c>
    </row>
    <row r="349" spans="2:16" ht="15" thickBot="1">
      <c r="B349" s="9">
        <f t="shared" si="35"/>
        <v>20</v>
      </c>
      <c r="C349" s="15">
        <f t="shared" si="30"/>
        <v>5</v>
      </c>
      <c r="D349" s="25">
        <f t="shared" si="31"/>
        <v>42153</v>
      </c>
      <c r="E349" s="16">
        <f t="shared" si="32"/>
        <v>1.9019437646272674E-3</v>
      </c>
      <c r="F349" s="17">
        <f t="shared" si="33"/>
        <v>-1.0463638802516662E-2</v>
      </c>
      <c r="G349" s="18">
        <f t="shared" si="34"/>
        <v>-1.2365582567143929E-2</v>
      </c>
      <c r="J349" s="28"/>
      <c r="K349" s="8">
        <v>42153</v>
      </c>
      <c r="L349" s="7">
        <v>23495.68</v>
      </c>
      <c r="M349" s="6">
        <v>23789.29</v>
      </c>
      <c r="N349" s="6">
        <v>23821.33</v>
      </c>
      <c r="O349" s="6">
        <v>23495.68</v>
      </c>
      <c r="P349" s="37">
        <v>714200</v>
      </c>
    </row>
    <row r="350" spans="2:16" ht="15" thickBot="1">
      <c r="B350" s="9">
        <f t="shared" si="35"/>
        <v>19</v>
      </c>
      <c r="C350" s="15">
        <f t="shared" si="30"/>
        <v>4</v>
      </c>
      <c r="D350" s="25">
        <f t="shared" si="31"/>
        <v>42152</v>
      </c>
      <c r="E350" s="16">
        <f t="shared" si="32"/>
        <v>-4.1536276453654208E-3</v>
      </c>
      <c r="F350" s="17">
        <f t="shared" si="33"/>
        <v>-4.9008699106954934E-3</v>
      </c>
      <c r="G350" s="18">
        <f t="shared" si="34"/>
        <v>-7.4724226533007254E-4</v>
      </c>
      <c r="J350" s="28"/>
      <c r="K350" s="8">
        <v>42152</v>
      </c>
      <c r="L350" s="7">
        <v>23744.13</v>
      </c>
      <c r="M350" s="6">
        <v>23761.96</v>
      </c>
      <c r="N350" s="6">
        <v>23866.19</v>
      </c>
      <c r="O350" s="6">
        <v>23626.7</v>
      </c>
      <c r="P350" s="37">
        <v>518810</v>
      </c>
    </row>
    <row r="351" spans="2:16" ht="15" thickBot="1">
      <c r="B351" s="9">
        <f t="shared" si="35"/>
        <v>18</v>
      </c>
      <c r="C351" s="15">
        <f t="shared" si="30"/>
        <v>3</v>
      </c>
      <c r="D351" s="25">
        <f t="shared" si="31"/>
        <v>42151</v>
      </c>
      <c r="E351" s="16">
        <f t="shared" si="32"/>
        <v>4.9865070229926367E-3</v>
      </c>
      <c r="F351" s="17">
        <f t="shared" si="33"/>
        <v>2.2897121140997845E-2</v>
      </c>
      <c r="G351" s="18">
        <f t="shared" si="34"/>
        <v>1.7910614118005208E-2</v>
      </c>
      <c r="J351" s="28"/>
      <c r="K351" s="8">
        <v>42151</v>
      </c>
      <c r="L351" s="5">
        <v>23861.07</v>
      </c>
      <c r="M351" s="6">
        <v>23443.27</v>
      </c>
      <c r="N351" s="6">
        <v>23879.84</v>
      </c>
      <c r="O351" s="6">
        <v>23419.71</v>
      </c>
      <c r="P351" s="37">
        <v>730960</v>
      </c>
    </row>
    <row r="352" spans="2:16" ht="15" thickBot="1">
      <c r="B352" s="9">
        <f t="shared" si="35"/>
        <v>17</v>
      </c>
      <c r="C352" s="15">
        <f t="shared" si="30"/>
        <v>2</v>
      </c>
      <c r="D352" s="25">
        <f t="shared" si="31"/>
        <v>42150</v>
      </c>
      <c r="E352" s="16">
        <f t="shared" si="32"/>
        <v>1.8690055576289222E-3</v>
      </c>
      <c r="F352" s="17">
        <f t="shared" si="33"/>
        <v>1.7968564460293379E-3</v>
      </c>
      <c r="G352" s="18">
        <f t="shared" si="34"/>
        <v>-7.2149111599584259E-5</v>
      </c>
      <c r="J352" s="28"/>
      <c r="K352" s="8">
        <v>42150</v>
      </c>
      <c r="L352" s="5">
        <v>23326.95</v>
      </c>
      <c r="M352" s="6">
        <v>23328.63</v>
      </c>
      <c r="N352" s="6">
        <v>23505.52</v>
      </c>
      <c r="O352" s="6">
        <v>23178.67</v>
      </c>
      <c r="P352" s="37">
        <v>607140</v>
      </c>
    </row>
    <row r="353" spans="2:16" ht="15" thickBot="1">
      <c r="B353" s="9">
        <f t="shared" si="35"/>
        <v>16</v>
      </c>
      <c r="C353" s="15">
        <f t="shared" si="30"/>
        <v>1</v>
      </c>
      <c r="D353" s="25">
        <f t="shared" si="31"/>
        <v>42149</v>
      </c>
      <c r="E353" s="16">
        <f t="shared" si="32"/>
        <v>-6.6664480118812097E-3</v>
      </c>
      <c r="F353" s="17">
        <f t="shared" si="33"/>
        <v>-2.0884475426145466E-2</v>
      </c>
      <c r="G353" s="18">
        <f t="shared" si="34"/>
        <v>-1.4218027414264256E-2</v>
      </c>
      <c r="J353" s="28"/>
      <c r="K353" s="8">
        <v>42149</v>
      </c>
      <c r="L353" s="7">
        <v>23285.11</v>
      </c>
      <c r="M353" s="6">
        <v>23623.24</v>
      </c>
      <c r="N353" s="6">
        <v>23631.02</v>
      </c>
      <c r="O353" s="6">
        <v>23278.09</v>
      </c>
      <c r="P353" s="37">
        <v>282080</v>
      </c>
    </row>
    <row r="354" spans="2:16" ht="15" thickBot="1">
      <c r="B354" s="9">
        <f t="shared" si="35"/>
        <v>15</v>
      </c>
      <c r="C354" s="15">
        <f t="shared" si="30"/>
        <v>5</v>
      </c>
      <c r="D354" s="25">
        <f t="shared" si="31"/>
        <v>42146</v>
      </c>
      <c r="E354" s="16">
        <f t="shared" si="32"/>
        <v>-1.6133319348314856E-3</v>
      </c>
      <c r="F354" s="17">
        <f t="shared" si="33"/>
        <v>1.7729801863461958E-3</v>
      </c>
      <c r="G354" s="18">
        <f t="shared" si="34"/>
        <v>3.3863121211776814E-3</v>
      </c>
      <c r="J354" s="28"/>
      <c r="K354" s="8">
        <v>42146</v>
      </c>
      <c r="L354" s="5">
        <v>23781.78</v>
      </c>
      <c r="M354" s="6">
        <v>23701.39</v>
      </c>
      <c r="N354" s="6">
        <v>23815.5</v>
      </c>
      <c r="O354" s="6">
        <v>23686.3</v>
      </c>
      <c r="P354" s="37">
        <v>422640</v>
      </c>
    </row>
    <row r="355" spans="2:16" ht="15" thickBot="1">
      <c r="B355" s="9">
        <f t="shared" si="35"/>
        <v>14</v>
      </c>
      <c r="C355" s="15">
        <f t="shared" si="30"/>
        <v>4</v>
      </c>
      <c r="D355" s="25">
        <f t="shared" si="31"/>
        <v>42145</v>
      </c>
      <c r="E355" s="16">
        <f t="shared" si="32"/>
        <v>-2.2223054178738266E-3</v>
      </c>
      <c r="F355" s="17">
        <f t="shared" si="33"/>
        <v>-1.3847869459854278E-3</v>
      </c>
      <c r="G355" s="18">
        <f t="shared" si="34"/>
        <v>8.3751847188839879E-4</v>
      </c>
      <c r="J355" s="28"/>
      <c r="K355" s="8">
        <v>42145</v>
      </c>
      <c r="L355" s="7">
        <v>23739.69</v>
      </c>
      <c r="M355" s="6">
        <v>23719.78</v>
      </c>
      <c r="N355" s="6">
        <v>23757.06</v>
      </c>
      <c r="O355" s="6">
        <v>23584.52</v>
      </c>
      <c r="P355" s="37">
        <v>522160</v>
      </c>
    </row>
    <row r="356" spans="2:16" ht="15" thickBot="1">
      <c r="B356" s="9">
        <f t="shared" si="35"/>
        <v>13</v>
      </c>
      <c r="C356" s="15">
        <f t="shared" si="30"/>
        <v>3</v>
      </c>
      <c r="D356" s="25">
        <f t="shared" si="31"/>
        <v>42144</v>
      </c>
      <c r="E356" s="16">
        <f t="shared" si="32"/>
        <v>-1.8740569622227587E-3</v>
      </c>
      <c r="F356" s="17">
        <f t="shared" si="33"/>
        <v>2.502819097838227E-3</v>
      </c>
      <c r="G356" s="18">
        <f t="shared" si="34"/>
        <v>4.3768760600609857E-3</v>
      </c>
      <c r="J356" s="28"/>
      <c r="K356" s="8">
        <v>42144</v>
      </c>
      <c r="L356" s="5">
        <v>23772.61</v>
      </c>
      <c r="M356" s="6">
        <v>23668.82</v>
      </c>
      <c r="N356" s="6">
        <v>23772.799999999999</v>
      </c>
      <c r="O356" s="6">
        <v>23578.14</v>
      </c>
      <c r="P356" s="37">
        <v>527310</v>
      </c>
    </row>
    <row r="357" spans="2:16" ht="15" thickBot="1">
      <c r="B357" s="9">
        <f t="shared" si="35"/>
        <v>12</v>
      </c>
      <c r="C357" s="15">
        <f t="shared" si="30"/>
        <v>2</v>
      </c>
      <c r="D357" s="25">
        <f t="shared" si="31"/>
        <v>42143</v>
      </c>
      <c r="E357" s="16">
        <f t="shared" si="32"/>
        <v>6.5526918152780667E-3</v>
      </c>
      <c r="F357" s="17">
        <f t="shared" si="33"/>
        <v>2.220699108978752E-2</v>
      </c>
      <c r="G357" s="18">
        <f t="shared" si="34"/>
        <v>1.5654299274509453E-2</v>
      </c>
      <c r="J357" s="28"/>
      <c r="K357" s="8">
        <v>42143</v>
      </c>
      <c r="L357" s="5">
        <v>23713.26</v>
      </c>
      <c r="M357" s="6">
        <v>23350.11</v>
      </c>
      <c r="N357" s="6">
        <v>23713.26</v>
      </c>
      <c r="O357" s="6">
        <v>23331.35</v>
      </c>
      <c r="P357" s="37">
        <v>638300</v>
      </c>
    </row>
    <row r="358" spans="2:16" ht="15" thickBot="1">
      <c r="B358" s="9">
        <f t="shared" si="35"/>
        <v>11</v>
      </c>
      <c r="C358" s="15">
        <f t="shared" si="30"/>
        <v>1</v>
      </c>
      <c r="D358" s="25">
        <f t="shared" si="31"/>
        <v>42142</v>
      </c>
      <c r="E358" s="16">
        <f t="shared" si="32"/>
        <v>-1.0915732065064132E-2</v>
      </c>
      <c r="F358" s="17">
        <f t="shared" si="33"/>
        <v>-1.1730695006189951E-2</v>
      </c>
      <c r="G358" s="18">
        <f t="shared" si="34"/>
        <v>-8.1496294112581857E-4</v>
      </c>
      <c r="J358" s="28"/>
      <c r="K358" s="8">
        <v>42142</v>
      </c>
      <c r="L358" s="7">
        <v>23198.1</v>
      </c>
      <c r="M358" s="6">
        <v>23217.23</v>
      </c>
      <c r="N358" s="6">
        <v>23364.67</v>
      </c>
      <c r="O358" s="6">
        <v>23002.36</v>
      </c>
      <c r="P358" s="37">
        <v>514940</v>
      </c>
    </row>
    <row r="359" spans="2:16" ht="15" thickBot="1">
      <c r="B359" s="9">
        <f t="shared" si="35"/>
        <v>10</v>
      </c>
      <c r="C359" s="15">
        <f t="shared" si="30"/>
        <v>5</v>
      </c>
      <c r="D359" s="25">
        <f t="shared" si="31"/>
        <v>42139</v>
      </c>
      <c r="E359" s="16">
        <f t="shared" si="32"/>
        <v>2.8315920401178474E-3</v>
      </c>
      <c r="F359" s="17">
        <f t="shared" si="33"/>
        <v>-3.1904245646979801E-3</v>
      </c>
      <c r="G359" s="18">
        <f t="shared" si="34"/>
        <v>-6.0220166048158275E-3</v>
      </c>
      <c r="J359" s="28"/>
      <c r="K359" s="8">
        <v>42139</v>
      </c>
      <c r="L359" s="7">
        <v>23473.46</v>
      </c>
      <c r="M359" s="6">
        <v>23615.27</v>
      </c>
      <c r="N359" s="6">
        <v>23741.11</v>
      </c>
      <c r="O359" s="6">
        <v>23433.29</v>
      </c>
      <c r="P359" s="37">
        <v>841370</v>
      </c>
    </row>
    <row r="360" spans="2:16" ht="15" thickBot="1">
      <c r="B360" s="9">
        <f t="shared" si="35"/>
        <v>9</v>
      </c>
      <c r="C360" s="15">
        <f t="shared" si="30"/>
        <v>4</v>
      </c>
      <c r="D360" s="25">
        <f t="shared" si="31"/>
        <v>42138</v>
      </c>
      <c r="E360" s="16">
        <f t="shared" si="32"/>
        <v>-1.5165242986403538E-4</v>
      </c>
      <c r="F360" s="17">
        <f t="shared" si="33"/>
        <v>1.4545708343942421E-2</v>
      </c>
      <c r="G360" s="18">
        <f t="shared" si="34"/>
        <v>1.4697360773806456E-2</v>
      </c>
      <c r="J360" s="28"/>
      <c r="K360" s="8">
        <v>42138</v>
      </c>
      <c r="L360" s="5">
        <v>23548.59</v>
      </c>
      <c r="M360" s="6">
        <v>23207.45</v>
      </c>
      <c r="N360" s="6">
        <v>23548.59</v>
      </c>
      <c r="O360" s="6">
        <v>23030.75</v>
      </c>
      <c r="P360" s="37">
        <v>757930</v>
      </c>
    </row>
    <row r="361" spans="2:16" ht="15" thickBot="1">
      <c r="B361" s="9">
        <f t="shared" si="35"/>
        <v>8</v>
      </c>
      <c r="C361" s="15">
        <f t="shared" si="30"/>
        <v>3</v>
      </c>
      <c r="D361" s="25">
        <f t="shared" si="31"/>
        <v>42137</v>
      </c>
      <c r="E361" s="16">
        <f t="shared" si="32"/>
        <v>2.8418251217168233E-3</v>
      </c>
      <c r="F361" s="17">
        <f t="shared" si="33"/>
        <v>4.5921054738677913E-3</v>
      </c>
      <c r="G361" s="18">
        <f t="shared" si="34"/>
        <v>1.750280352150968E-3</v>
      </c>
      <c r="J361" s="28"/>
      <c r="K361" s="8">
        <v>42137</v>
      </c>
      <c r="L361" s="5">
        <v>23210.97</v>
      </c>
      <c r="M361" s="6">
        <v>23170.53</v>
      </c>
      <c r="N361" s="6">
        <v>23401.439999999999</v>
      </c>
      <c r="O361" s="6">
        <v>23123.49</v>
      </c>
      <c r="P361" s="37">
        <v>949270</v>
      </c>
    </row>
    <row r="362" spans="2:16" ht="15" thickBot="1">
      <c r="B362" s="9">
        <f t="shared" si="35"/>
        <v>7</v>
      </c>
      <c r="C362" s="15">
        <f t="shared" si="30"/>
        <v>2</v>
      </c>
      <c r="D362" s="25">
        <f t="shared" si="31"/>
        <v>42136</v>
      </c>
      <c r="E362" s="16">
        <f t="shared" si="32"/>
        <v>-6.0042380839263609E-3</v>
      </c>
      <c r="F362" s="17">
        <f t="shared" si="33"/>
        <v>-9.3041464102777693E-3</v>
      </c>
      <c r="G362" s="18">
        <f t="shared" si="34"/>
        <v>-3.2999083263514084E-3</v>
      </c>
      <c r="J362" s="28"/>
      <c r="K362" s="8">
        <v>42136</v>
      </c>
      <c r="L362" s="7">
        <v>23104.87</v>
      </c>
      <c r="M362" s="6">
        <v>23181.83</v>
      </c>
      <c r="N362" s="6">
        <v>23269.97</v>
      </c>
      <c r="O362" s="6">
        <v>22942.36</v>
      </c>
      <c r="P362" s="37">
        <v>1060000</v>
      </c>
    </row>
    <row r="363" spans="2:16" ht="15" thickBot="1">
      <c r="B363" s="9">
        <f t="shared" si="35"/>
        <v>6</v>
      </c>
      <c r="C363" s="15">
        <f t="shared" si="30"/>
        <v>1</v>
      </c>
      <c r="D363" s="25">
        <f t="shared" si="31"/>
        <v>42135</v>
      </c>
      <c r="E363" s="16">
        <f t="shared" si="32"/>
        <v>6.0053799624260051E-6</v>
      </c>
      <c r="F363" s="17">
        <f t="shared" si="33"/>
        <v>4.0450523604795841E-4</v>
      </c>
      <c r="G363" s="18">
        <f t="shared" si="34"/>
        <v>3.984998560855324E-4</v>
      </c>
      <c r="J363" s="28"/>
      <c r="K363" s="8">
        <v>42135</v>
      </c>
      <c r="L363" s="5">
        <v>23321.86</v>
      </c>
      <c r="M363" s="6">
        <v>23312.57</v>
      </c>
      <c r="N363" s="6">
        <v>23367.78</v>
      </c>
      <c r="O363" s="6">
        <v>23124.27</v>
      </c>
      <c r="P363" s="37">
        <v>730410</v>
      </c>
    </row>
    <row r="364" spans="2:16" ht="15" thickBot="1">
      <c r="B364" s="9">
        <f t="shared" si="35"/>
        <v>5</v>
      </c>
      <c r="C364" s="15">
        <f t="shared" si="30"/>
        <v>5</v>
      </c>
      <c r="D364" s="25">
        <f t="shared" si="31"/>
        <v>42132</v>
      </c>
      <c r="E364" s="16">
        <f t="shared" si="32"/>
        <v>8.3237311049160212E-3</v>
      </c>
      <c r="F364" s="17">
        <f t="shared" si="33"/>
        <v>2.0598531121727159E-2</v>
      </c>
      <c r="G364" s="18">
        <f t="shared" si="34"/>
        <v>1.2274800016811138E-2</v>
      </c>
      <c r="J364" s="28"/>
      <c r="K364" s="8">
        <v>42132</v>
      </c>
      <c r="L364" s="5">
        <v>23312.43</v>
      </c>
      <c r="M364" s="6">
        <v>23032.05</v>
      </c>
      <c r="N364" s="6">
        <v>23312.43</v>
      </c>
      <c r="O364" s="6">
        <v>22921.32</v>
      </c>
      <c r="P364" s="37">
        <v>784800</v>
      </c>
    </row>
    <row r="365" spans="2:16" ht="15" thickBot="1">
      <c r="B365" s="9">
        <f t="shared" si="35"/>
        <v>4</v>
      </c>
      <c r="C365" s="15">
        <f t="shared" si="30"/>
        <v>4</v>
      </c>
      <c r="D365" s="25">
        <f t="shared" si="31"/>
        <v>42131</v>
      </c>
      <c r="E365" s="16">
        <f t="shared" si="32"/>
        <v>-6.4100159533271306E-3</v>
      </c>
      <c r="F365" s="17">
        <f t="shared" si="33"/>
        <v>8.0349163829416259E-3</v>
      </c>
      <c r="G365" s="18">
        <f t="shared" si="34"/>
        <v>1.4444932336268757E-2</v>
      </c>
      <c r="J365" s="28"/>
      <c r="K365" s="8">
        <v>42131</v>
      </c>
      <c r="L365" s="5">
        <v>22841.919999999998</v>
      </c>
      <c r="M365" s="6">
        <v>22514.6</v>
      </c>
      <c r="N365" s="6">
        <v>22854.19</v>
      </c>
      <c r="O365" s="6">
        <v>22296.58</v>
      </c>
      <c r="P365" s="37">
        <v>817350</v>
      </c>
    </row>
    <row r="366" spans="2:16" ht="15" thickBot="1">
      <c r="B366" s="9">
        <f t="shared" si="35"/>
        <v>3</v>
      </c>
      <c r="C366" s="15">
        <f t="shared" si="30"/>
        <v>3</v>
      </c>
      <c r="D366" s="25">
        <f t="shared" si="31"/>
        <v>42130</v>
      </c>
      <c r="E366" s="16">
        <f t="shared" si="32"/>
        <v>1.48518250292895E-3</v>
      </c>
      <c r="F366" s="17">
        <f t="shared" si="33"/>
        <v>3.698560661931527E-3</v>
      </c>
      <c r="G366" s="18">
        <f t="shared" si="34"/>
        <v>2.213378159002577E-3</v>
      </c>
      <c r="J366" s="28"/>
      <c r="K366" s="8">
        <v>42130</v>
      </c>
      <c r="L366" s="5">
        <v>22659.85</v>
      </c>
      <c r="M366" s="6">
        <v>22609.88</v>
      </c>
      <c r="N366" s="6">
        <v>22840.27</v>
      </c>
      <c r="O366" s="6">
        <v>22472.5</v>
      </c>
      <c r="P366" s="37">
        <v>809620</v>
      </c>
    </row>
    <row r="367" spans="2:16" ht="15" thickBot="1">
      <c r="B367" s="9">
        <f t="shared" si="35"/>
        <v>2</v>
      </c>
      <c r="C367" s="15">
        <f t="shared" si="30"/>
        <v>2</v>
      </c>
      <c r="D367" s="25">
        <f t="shared" si="31"/>
        <v>42129</v>
      </c>
      <c r="E367" s="16">
        <f t="shared" si="32"/>
        <v>-3.1213967938382714E-3</v>
      </c>
      <c r="F367" s="17">
        <f t="shared" si="33"/>
        <v>-2.7601124512591335E-2</v>
      </c>
      <c r="G367" s="18">
        <f t="shared" si="34"/>
        <v>-2.4479727718753064E-2</v>
      </c>
      <c r="J367" s="28"/>
      <c r="K367" s="8">
        <v>42129</v>
      </c>
      <c r="L367" s="7">
        <v>22576.35</v>
      </c>
      <c r="M367" s="6">
        <v>23144.7</v>
      </c>
      <c r="N367" s="6">
        <v>23350.34</v>
      </c>
      <c r="O367" s="6">
        <v>22576.35</v>
      </c>
      <c r="P367" s="37">
        <v>900170</v>
      </c>
    </row>
    <row r="368" spans="2:16" ht="15" thickBot="1">
      <c r="B368" s="19">
        <v>1</v>
      </c>
      <c r="C368" s="15">
        <f t="shared" si="30"/>
        <v>1</v>
      </c>
      <c r="D368" s="25">
        <f t="shared" si="31"/>
        <v>42128</v>
      </c>
      <c r="E368" s="16">
        <f t="shared" si="32"/>
        <v>1.5894629411703498E-3</v>
      </c>
      <c r="F368" s="17">
        <f t="shared" si="33"/>
        <v>7.4483023164588769E-3</v>
      </c>
      <c r="G368" s="18">
        <f t="shared" si="34"/>
        <v>5.8588393752885271E-3</v>
      </c>
      <c r="J368" s="28"/>
      <c r="K368" s="8">
        <v>42128</v>
      </c>
      <c r="L368" s="5">
        <v>23217.17</v>
      </c>
      <c r="M368" s="6">
        <v>23082.15</v>
      </c>
      <c r="N368" s="6">
        <v>23365.16</v>
      </c>
      <c r="O368" s="6">
        <v>22859.79</v>
      </c>
      <c r="P368" s="37">
        <v>498680</v>
      </c>
    </row>
    <row r="369" spans="2:16" ht="15" thickBot="1">
      <c r="B369" s="9">
        <f t="shared" si="35"/>
        <v>20</v>
      </c>
      <c r="C369" s="15">
        <f t="shared" si="30"/>
        <v>4</v>
      </c>
      <c r="D369" s="25">
        <f t="shared" si="31"/>
        <v>42124</v>
      </c>
      <c r="E369" s="16">
        <f t="shared" si="32"/>
        <v>-1.3789576541283211E-3</v>
      </c>
      <c r="F369" s="17">
        <f t="shared" si="33"/>
        <v>2.1695426478856028E-3</v>
      </c>
      <c r="G369" s="18">
        <f t="shared" si="34"/>
        <v>3.5485003020139239E-3</v>
      </c>
      <c r="J369" s="28"/>
      <c r="K369" s="8">
        <v>42124</v>
      </c>
      <c r="L369" s="5">
        <v>23045.52</v>
      </c>
      <c r="M369" s="6">
        <v>22963.919999999998</v>
      </c>
      <c r="N369" s="6">
        <v>23180.43</v>
      </c>
      <c r="O369" s="6">
        <v>22725.83</v>
      </c>
      <c r="P369" s="37">
        <v>756230</v>
      </c>
    </row>
    <row r="370" spans="2:16" ht="15" thickBot="1">
      <c r="B370" s="9">
        <f t="shared" si="35"/>
        <v>19</v>
      </c>
      <c r="C370" s="15">
        <f t="shared" si="30"/>
        <v>3</v>
      </c>
      <c r="D370" s="25">
        <f t="shared" si="31"/>
        <v>42123</v>
      </c>
      <c r="E370" s="16">
        <f t="shared" si="32"/>
        <v>5.1780356100965541E-3</v>
      </c>
      <c r="F370" s="17">
        <f t="shared" si="33"/>
        <v>-2.2796955136581531E-2</v>
      </c>
      <c r="G370" s="18">
        <f t="shared" si="34"/>
        <v>-2.7974990746678086E-2</v>
      </c>
      <c r="J370" s="28"/>
      <c r="K370" s="8">
        <v>42123</v>
      </c>
      <c r="L370" s="7">
        <v>22995.63</v>
      </c>
      <c r="M370" s="6">
        <v>23653.94</v>
      </c>
      <c r="N370" s="6">
        <v>23695.24</v>
      </c>
      <c r="O370" s="6">
        <v>22995.63</v>
      </c>
      <c r="P370" s="37">
        <v>802010</v>
      </c>
    </row>
    <row r="371" spans="2:16" ht="15" thickBot="1">
      <c r="B371" s="9">
        <f t="shared" si="35"/>
        <v>18</v>
      </c>
      <c r="C371" s="15">
        <f t="shared" si="30"/>
        <v>2</v>
      </c>
      <c r="D371" s="25">
        <f t="shared" si="31"/>
        <v>42122</v>
      </c>
      <c r="E371" s="16">
        <f t="shared" si="32"/>
        <v>-5.3221273219206111E-4</v>
      </c>
      <c r="F371" s="17">
        <f t="shared" si="33"/>
        <v>-1.1517133931523094E-2</v>
      </c>
      <c r="G371" s="18">
        <f t="shared" si="34"/>
        <v>-1.0984921199331033E-2</v>
      </c>
      <c r="J371" s="28"/>
      <c r="K371" s="8">
        <v>42122</v>
      </c>
      <c r="L371" s="7">
        <v>23532.09</v>
      </c>
      <c r="M371" s="6">
        <v>23793.599999999999</v>
      </c>
      <c r="N371" s="6">
        <v>23859.9</v>
      </c>
      <c r="O371" s="6">
        <v>23487.13</v>
      </c>
      <c r="P371" s="37">
        <v>638360</v>
      </c>
    </row>
    <row r="372" spans="2:16" ht="15" thickBot="1">
      <c r="B372" s="9">
        <f t="shared" si="35"/>
        <v>17</v>
      </c>
      <c r="C372" s="15">
        <f t="shared" si="30"/>
        <v>1</v>
      </c>
      <c r="D372" s="25">
        <f t="shared" si="31"/>
        <v>42121</v>
      </c>
      <c r="E372" s="16">
        <f t="shared" si="32"/>
        <v>9.2968261455106393E-4</v>
      </c>
      <c r="F372" s="17">
        <f t="shared" si="33"/>
        <v>1.6174257865273045E-2</v>
      </c>
      <c r="G372" s="18">
        <f t="shared" si="34"/>
        <v>1.5244575250721981E-2</v>
      </c>
      <c r="J372" s="28"/>
      <c r="K372" s="8">
        <v>42121</v>
      </c>
      <c r="L372" s="5">
        <v>23806.27</v>
      </c>
      <c r="M372" s="6">
        <v>23449.13</v>
      </c>
      <c r="N372" s="6">
        <v>23812.07</v>
      </c>
      <c r="O372" s="6">
        <v>23154.639999999999</v>
      </c>
      <c r="P372" s="37">
        <v>724020</v>
      </c>
    </row>
    <row r="373" spans="2:16" ht="15" thickBot="1">
      <c r="B373" s="9">
        <f t="shared" si="35"/>
        <v>16</v>
      </c>
      <c r="C373" s="15">
        <f t="shared" si="30"/>
        <v>5</v>
      </c>
      <c r="D373" s="25">
        <f t="shared" si="31"/>
        <v>42118</v>
      </c>
      <c r="E373" s="16">
        <f t="shared" si="32"/>
        <v>6.7661145122963617E-3</v>
      </c>
      <c r="F373" s="17">
        <f t="shared" si="33"/>
        <v>9.8243793058707674E-3</v>
      </c>
      <c r="G373" s="18">
        <f t="shared" si="34"/>
        <v>3.0582647935744056E-3</v>
      </c>
      <c r="J373" s="28"/>
      <c r="K373" s="8">
        <v>42118</v>
      </c>
      <c r="L373" s="5">
        <v>23427.35</v>
      </c>
      <c r="M373" s="6">
        <v>23356.400000000001</v>
      </c>
      <c r="N373" s="6">
        <v>23574.12</v>
      </c>
      <c r="O373" s="6">
        <v>23213.14</v>
      </c>
      <c r="P373" s="37">
        <v>716660</v>
      </c>
    </row>
    <row r="374" spans="2:16" ht="15" thickBot="1">
      <c r="B374" s="9">
        <f t="shared" si="35"/>
        <v>15</v>
      </c>
      <c r="C374" s="15">
        <f t="shared" si="30"/>
        <v>4</v>
      </c>
      <c r="D374" s="25">
        <f t="shared" si="31"/>
        <v>42117</v>
      </c>
      <c r="E374" s="16">
        <f t="shared" si="32"/>
        <v>7.3213412594252958E-4</v>
      </c>
      <c r="F374" s="17">
        <f t="shared" si="33"/>
        <v>-4.9739657050704711E-3</v>
      </c>
      <c r="G374" s="18">
        <f t="shared" si="34"/>
        <v>-5.7060998310130007E-3</v>
      </c>
      <c r="J374" s="28"/>
      <c r="K374" s="8">
        <v>42117</v>
      </c>
      <c r="L374" s="7">
        <v>23199.43</v>
      </c>
      <c r="M374" s="6">
        <v>23332.47</v>
      </c>
      <c r="N374" s="6">
        <v>23380.89</v>
      </c>
      <c r="O374" s="6">
        <v>22966.31</v>
      </c>
      <c r="P374" s="37">
        <v>618150</v>
      </c>
    </row>
    <row r="375" spans="2:16" ht="15" thickBot="1">
      <c r="B375" s="9">
        <f t="shared" si="35"/>
        <v>14</v>
      </c>
      <c r="C375" s="15">
        <f t="shared" si="30"/>
        <v>3</v>
      </c>
      <c r="D375" s="25">
        <f t="shared" si="31"/>
        <v>42116</v>
      </c>
      <c r="E375" s="16">
        <f t="shared" si="32"/>
        <v>3.4762950156324024E-3</v>
      </c>
      <c r="F375" s="17">
        <f t="shared" si="33"/>
        <v>3.2331824170643841E-3</v>
      </c>
      <c r="G375" s="18">
        <f t="shared" si="34"/>
        <v>-2.4311259856801826E-4</v>
      </c>
      <c r="J375" s="28"/>
      <c r="K375" s="8">
        <v>42116</v>
      </c>
      <c r="L375" s="5">
        <v>23315.4</v>
      </c>
      <c r="M375" s="6">
        <v>23321.05</v>
      </c>
      <c r="N375" s="6">
        <v>23427.31</v>
      </c>
      <c r="O375" s="6">
        <v>23125.01</v>
      </c>
      <c r="P375" s="37">
        <v>636590</v>
      </c>
    </row>
    <row r="376" spans="2:16" ht="15" thickBot="1">
      <c r="B376" s="9">
        <f t="shared" si="35"/>
        <v>13</v>
      </c>
      <c r="C376" s="15">
        <f t="shared" si="30"/>
        <v>2</v>
      </c>
      <c r="D376" s="25">
        <f t="shared" si="31"/>
        <v>42115</v>
      </c>
      <c r="E376" s="16">
        <f t="shared" si="32"/>
        <v>4.3140653272748519E-3</v>
      </c>
      <c r="F376" s="17">
        <f t="shared" si="33"/>
        <v>-3.9737744600133462E-3</v>
      </c>
      <c r="G376" s="18">
        <f t="shared" si="34"/>
        <v>-8.2878397872881981E-3</v>
      </c>
      <c r="J376" s="28"/>
      <c r="K376" s="8">
        <v>42115</v>
      </c>
      <c r="L376" s="7">
        <v>23240.26</v>
      </c>
      <c r="M376" s="6">
        <v>23433.64</v>
      </c>
      <c r="N376" s="6">
        <v>23525.31</v>
      </c>
      <c r="O376" s="6">
        <v>22969.599999999999</v>
      </c>
      <c r="P376" s="37">
        <v>738020</v>
      </c>
    </row>
    <row r="377" spans="2:16" ht="15" thickBot="1">
      <c r="B377" s="9">
        <f t="shared" si="35"/>
        <v>12</v>
      </c>
      <c r="C377" s="15">
        <f t="shared" si="30"/>
        <v>1</v>
      </c>
      <c r="D377" s="25">
        <f t="shared" si="31"/>
        <v>42114</v>
      </c>
      <c r="E377" s="16">
        <f t="shared" si="32"/>
        <v>2.0330601178262242E-3</v>
      </c>
      <c r="F377" s="17">
        <f t="shared" si="33"/>
        <v>1.2536842434152096E-2</v>
      </c>
      <c r="G377" s="18">
        <f t="shared" si="34"/>
        <v>1.0503782316325871E-2</v>
      </c>
      <c r="J377" s="28"/>
      <c r="K377" s="8">
        <v>42114</v>
      </c>
      <c r="L377" s="5">
        <v>23332.98</v>
      </c>
      <c r="M377" s="6">
        <v>23090.93</v>
      </c>
      <c r="N377" s="6">
        <v>23332.98</v>
      </c>
      <c r="O377" s="6">
        <v>23027.14</v>
      </c>
      <c r="P377" s="37">
        <v>674920</v>
      </c>
    </row>
    <row r="378" spans="2:16" ht="15" thickBot="1">
      <c r="B378" s="9">
        <f t="shared" si="35"/>
        <v>11</v>
      </c>
      <c r="C378" s="15">
        <f t="shared" si="30"/>
        <v>5</v>
      </c>
      <c r="D378" s="25">
        <f t="shared" si="31"/>
        <v>42111</v>
      </c>
      <c r="E378" s="16">
        <f t="shared" si="32"/>
        <v>-1.4251946460117626E-3</v>
      </c>
      <c r="F378" s="17">
        <f t="shared" si="33"/>
        <v>-2.4002988461641062E-2</v>
      </c>
      <c r="G378" s="18">
        <f t="shared" si="34"/>
        <v>-2.2577793815629299E-2</v>
      </c>
      <c r="J378" s="28"/>
      <c r="K378" s="8">
        <v>42111</v>
      </c>
      <c r="L378" s="7">
        <v>23044.080000000002</v>
      </c>
      <c r="M378" s="6">
        <v>23577.16</v>
      </c>
      <c r="N378" s="6">
        <v>23780.19</v>
      </c>
      <c r="O378" s="6">
        <v>23010.93</v>
      </c>
      <c r="P378" s="37">
        <v>952200</v>
      </c>
    </row>
    <row r="379" spans="2:16" ht="15" thickBot="1">
      <c r="B379" s="9">
        <f t="shared" si="35"/>
        <v>10</v>
      </c>
      <c r="C379" s="15">
        <f t="shared" si="30"/>
        <v>4</v>
      </c>
      <c r="D379" s="25">
        <f t="shared" si="31"/>
        <v>42110</v>
      </c>
      <c r="E379" s="16">
        <f t="shared" si="32"/>
        <v>2.076524289507109E-4</v>
      </c>
      <c r="F379" s="17">
        <f t="shared" si="33"/>
        <v>-1.746652384840286E-2</v>
      </c>
      <c r="G379" s="18">
        <f t="shared" si="34"/>
        <v>-1.767417627735357E-2</v>
      </c>
      <c r="J379" s="28"/>
      <c r="K379" s="8">
        <v>42110</v>
      </c>
      <c r="L379" s="7">
        <v>23610.81</v>
      </c>
      <c r="M379" s="6">
        <v>24035.53</v>
      </c>
      <c r="N379" s="6">
        <v>24063.21</v>
      </c>
      <c r="O379" s="6">
        <v>23584.53</v>
      </c>
      <c r="P379" s="37">
        <v>743030</v>
      </c>
    </row>
    <row r="380" spans="2:16" ht="15" thickBot="1">
      <c r="B380" s="9">
        <f t="shared" si="35"/>
        <v>9</v>
      </c>
      <c r="C380" s="15">
        <f t="shared" ref="C380:C443" si="36">WEEKDAY(D380,2)</f>
        <v>3</v>
      </c>
      <c r="D380" s="25">
        <f t="shared" ref="D380:D443" si="37">K380</f>
        <v>42109</v>
      </c>
      <c r="E380" s="16">
        <f t="shared" ref="E380:E443" si="38">M380/L381-1</f>
        <v>2.1807854279749517E-3</v>
      </c>
      <c r="F380" s="17">
        <f t="shared" ref="F380:F443" si="39">L380/L381-1</f>
        <v>1.1688252092059592E-2</v>
      </c>
      <c r="G380" s="18">
        <f t="shared" ref="G380:G443" si="40">F380-E380</f>
        <v>9.5074666640846406E-3</v>
      </c>
      <c r="J380" s="28"/>
      <c r="K380" s="8">
        <v>42109</v>
      </c>
      <c r="L380" s="5">
        <v>24030.54</v>
      </c>
      <c r="M380" s="6">
        <v>23804.71</v>
      </c>
      <c r="N380" s="6">
        <v>24081.74</v>
      </c>
      <c r="O380" s="6">
        <v>23787.77</v>
      </c>
      <c r="P380" s="37">
        <v>596340</v>
      </c>
    </row>
    <row r="381" spans="2:16" ht="15" thickBot="1">
      <c r="B381" s="9">
        <f t="shared" si="35"/>
        <v>8</v>
      </c>
      <c r="C381" s="15">
        <f t="shared" si="36"/>
        <v>2</v>
      </c>
      <c r="D381" s="25">
        <f t="shared" si="37"/>
        <v>42108</v>
      </c>
      <c r="E381" s="16">
        <f t="shared" si="38"/>
        <v>-1.4298858215553434E-3</v>
      </c>
      <c r="F381" s="17">
        <f t="shared" si="39"/>
        <v>-1.0662708136271126E-2</v>
      </c>
      <c r="G381" s="18">
        <f t="shared" si="40"/>
        <v>-9.2328223147157829E-3</v>
      </c>
      <c r="J381" s="28"/>
      <c r="K381" s="8">
        <v>42108</v>
      </c>
      <c r="L381" s="7">
        <v>23752.91</v>
      </c>
      <c r="M381" s="6">
        <v>23974.58</v>
      </c>
      <c r="N381" s="6">
        <v>24024.23</v>
      </c>
      <c r="O381" s="6">
        <v>23642.91</v>
      </c>
      <c r="P381" s="37">
        <v>690370</v>
      </c>
    </row>
    <row r="382" spans="2:16" ht="15" thickBot="1">
      <c r="B382" s="9">
        <f t="shared" si="35"/>
        <v>7</v>
      </c>
      <c r="C382" s="15">
        <f t="shared" si="36"/>
        <v>1</v>
      </c>
      <c r="D382" s="25">
        <f t="shared" si="37"/>
        <v>42107</v>
      </c>
      <c r="E382" s="16">
        <f t="shared" si="38"/>
        <v>1.2777853396015448E-3</v>
      </c>
      <c r="F382" s="17">
        <f t="shared" si="39"/>
        <v>5.5140353265137332E-3</v>
      </c>
      <c r="G382" s="18">
        <f t="shared" si="40"/>
        <v>4.2362499869121883E-3</v>
      </c>
      <c r="J382" s="28"/>
      <c r="K382" s="8">
        <v>42107</v>
      </c>
      <c r="L382" s="5">
        <v>24008.91</v>
      </c>
      <c r="M382" s="6">
        <v>23907.759999999998</v>
      </c>
      <c r="N382" s="6">
        <v>24047.58</v>
      </c>
      <c r="O382" s="6">
        <v>23897.24</v>
      </c>
      <c r="P382" s="37">
        <v>575410</v>
      </c>
    </row>
    <row r="383" spans="2:16" ht="15" thickBot="1">
      <c r="B383" s="9">
        <f t="shared" si="35"/>
        <v>6</v>
      </c>
      <c r="C383" s="15">
        <f t="shared" si="36"/>
        <v>5</v>
      </c>
      <c r="D383" s="25">
        <f t="shared" si="37"/>
        <v>42104</v>
      </c>
      <c r="E383" s="16">
        <f t="shared" si="38"/>
        <v>3.1486437096441833E-3</v>
      </c>
      <c r="F383" s="17">
        <f t="shared" si="39"/>
        <v>3.0814278332540468E-3</v>
      </c>
      <c r="G383" s="18">
        <f t="shared" si="40"/>
        <v>-6.7215876390136486E-5</v>
      </c>
      <c r="J383" s="28"/>
      <c r="K383" s="8">
        <v>42104</v>
      </c>
      <c r="L383" s="5">
        <v>23877.25</v>
      </c>
      <c r="M383" s="6">
        <v>23878.85</v>
      </c>
      <c r="N383" s="6">
        <v>23917.759999999998</v>
      </c>
      <c r="O383" s="6">
        <v>23773.200000000001</v>
      </c>
      <c r="P383" s="37">
        <v>533460</v>
      </c>
    </row>
    <row r="384" spans="2:16" ht="15" thickBot="1">
      <c r="B384" s="9">
        <f t="shared" si="35"/>
        <v>5</v>
      </c>
      <c r="C384" s="15">
        <f t="shared" si="36"/>
        <v>4</v>
      </c>
      <c r="D384" s="25">
        <f t="shared" si="37"/>
        <v>42103</v>
      </c>
      <c r="E384" s="16">
        <f t="shared" si="38"/>
        <v>3.157510804242758E-3</v>
      </c>
      <c r="F384" s="17">
        <f t="shared" si="39"/>
        <v>9.5509930572932333E-3</v>
      </c>
      <c r="G384" s="18">
        <f t="shared" si="40"/>
        <v>6.3934822530504754E-3</v>
      </c>
      <c r="J384" s="28"/>
      <c r="K384" s="8">
        <v>42103</v>
      </c>
      <c r="L384" s="5">
        <v>23803.9</v>
      </c>
      <c r="M384" s="6">
        <v>23653.15</v>
      </c>
      <c r="N384" s="6">
        <v>23803.9</v>
      </c>
      <c r="O384" s="6">
        <v>23624.07</v>
      </c>
      <c r="P384" s="37">
        <v>515400</v>
      </c>
    </row>
    <row r="385" spans="2:16" ht="15" thickBot="1">
      <c r="B385" s="9">
        <f t="shared" si="35"/>
        <v>4</v>
      </c>
      <c r="C385" s="15">
        <f t="shared" si="36"/>
        <v>3</v>
      </c>
      <c r="D385" s="25">
        <f t="shared" si="37"/>
        <v>42102</v>
      </c>
      <c r="E385" s="16">
        <f t="shared" si="38"/>
        <v>1.4342154883473235E-4</v>
      </c>
      <c r="F385" s="17">
        <f t="shared" si="39"/>
        <v>-5.384213674485383E-3</v>
      </c>
      <c r="G385" s="18">
        <f t="shared" si="40"/>
        <v>-5.5276352233201154E-3</v>
      </c>
      <c r="J385" s="28"/>
      <c r="K385" s="8">
        <v>42102</v>
      </c>
      <c r="L385" s="7">
        <v>23578.7</v>
      </c>
      <c r="M385" s="6">
        <v>23709.74</v>
      </c>
      <c r="N385" s="6">
        <v>23785.74</v>
      </c>
      <c r="O385" s="6">
        <v>23538.81</v>
      </c>
      <c r="P385" s="37">
        <v>614620</v>
      </c>
    </row>
    <row r="386" spans="2:16" ht="15" thickBot="1">
      <c r="B386" s="9">
        <f t="shared" si="35"/>
        <v>3</v>
      </c>
      <c r="C386" s="15">
        <f t="shared" si="36"/>
        <v>2</v>
      </c>
      <c r="D386" s="25">
        <f t="shared" si="37"/>
        <v>42101</v>
      </c>
      <c r="E386" s="16">
        <f t="shared" si="38"/>
        <v>8.3003947481887774E-3</v>
      </c>
      <c r="F386" s="17">
        <f t="shared" si="39"/>
        <v>1.7067142372341859E-2</v>
      </c>
      <c r="G386" s="18">
        <f t="shared" si="40"/>
        <v>8.7667476241530817E-3</v>
      </c>
      <c r="J386" s="28"/>
      <c r="K386" s="8">
        <v>42101</v>
      </c>
      <c r="L386" s="5">
        <v>23706.34</v>
      </c>
      <c r="M386" s="6">
        <v>23502</v>
      </c>
      <c r="N386" s="6">
        <v>23736.45</v>
      </c>
      <c r="O386" s="6">
        <v>23477.02</v>
      </c>
      <c r="P386" s="37">
        <v>653790</v>
      </c>
    </row>
    <row r="387" spans="2:16" ht="15" thickBot="1">
      <c r="B387" s="9">
        <f t="shared" si="35"/>
        <v>2</v>
      </c>
      <c r="C387" s="15">
        <f t="shared" si="36"/>
        <v>4</v>
      </c>
      <c r="D387" s="25">
        <f t="shared" si="37"/>
        <v>42096</v>
      </c>
      <c r="E387" s="16">
        <f t="shared" si="38"/>
        <v>2.0715792934540289E-3</v>
      </c>
      <c r="F387" s="17">
        <f t="shared" si="39"/>
        <v>-2.1601961386173985E-3</v>
      </c>
      <c r="G387" s="18">
        <f t="shared" si="40"/>
        <v>-4.2317754320714274E-3</v>
      </c>
      <c r="J387" s="28"/>
      <c r="K387" s="8">
        <v>42096</v>
      </c>
      <c r="L387" s="7">
        <v>23308.53</v>
      </c>
      <c r="M387" s="6">
        <v>23407.38</v>
      </c>
      <c r="N387" s="6">
        <v>23453.85</v>
      </c>
      <c r="O387" s="6">
        <v>23289.91</v>
      </c>
      <c r="P387" s="37">
        <v>493680</v>
      </c>
    </row>
    <row r="388" spans="2:16" ht="15" thickBot="1">
      <c r="B388" s="19">
        <v>1</v>
      </c>
      <c r="C388" s="15">
        <f t="shared" si="36"/>
        <v>3</v>
      </c>
      <c r="D388" s="25">
        <f t="shared" si="37"/>
        <v>42095</v>
      </c>
      <c r="E388" s="16">
        <f t="shared" si="38"/>
        <v>-2.7909342785285007E-3</v>
      </c>
      <c r="F388" s="17">
        <f t="shared" si="39"/>
        <v>8.717405273194645E-3</v>
      </c>
      <c r="G388" s="18">
        <f t="shared" si="40"/>
        <v>1.1508339551723146E-2</v>
      </c>
      <c r="J388" s="28"/>
      <c r="K388" s="8">
        <v>42095</v>
      </c>
      <c r="L388" s="5">
        <v>23358.99</v>
      </c>
      <c r="M388" s="6">
        <v>23092.49</v>
      </c>
      <c r="N388" s="6">
        <v>23447.360000000001</v>
      </c>
      <c r="O388" s="6">
        <v>23072.13</v>
      </c>
      <c r="P388" s="37">
        <v>774250</v>
      </c>
    </row>
    <row r="389" spans="2:16" ht="15" thickBot="1">
      <c r="B389" s="9">
        <f t="shared" si="35"/>
        <v>22</v>
      </c>
      <c r="C389" s="15">
        <f t="shared" si="36"/>
        <v>2</v>
      </c>
      <c r="D389" s="25">
        <f t="shared" si="37"/>
        <v>42094</v>
      </c>
      <c r="E389" s="16">
        <f t="shared" si="38"/>
        <v>-1.2011743478340664E-3</v>
      </c>
      <c r="F389" s="17">
        <f t="shared" si="39"/>
        <v>-4.4474404539528445E-3</v>
      </c>
      <c r="G389" s="18">
        <f t="shared" si="40"/>
        <v>-3.2462661061187781E-3</v>
      </c>
      <c r="J389" s="28"/>
      <c r="K389" s="8">
        <v>42094</v>
      </c>
      <c r="L389" s="7">
        <v>23157.119999999999</v>
      </c>
      <c r="M389" s="6">
        <v>23232.63</v>
      </c>
      <c r="N389" s="6">
        <v>23336.94</v>
      </c>
      <c r="O389" s="6">
        <v>23006.22</v>
      </c>
      <c r="P389" s="37">
        <v>632270</v>
      </c>
    </row>
    <row r="390" spans="2:16" ht="15" thickBot="1">
      <c r="B390" s="9">
        <f t="shared" ref="B390:B453" si="41">B391+1</f>
        <v>21</v>
      </c>
      <c r="C390" s="15">
        <f t="shared" si="36"/>
        <v>1</v>
      </c>
      <c r="D390" s="25">
        <f t="shared" si="37"/>
        <v>42093</v>
      </c>
      <c r="E390" s="16">
        <f t="shared" si="38"/>
        <v>1.3609331267567804E-3</v>
      </c>
      <c r="F390" s="17">
        <f t="shared" si="39"/>
        <v>1.2023026222762301E-2</v>
      </c>
      <c r="G390" s="18">
        <f t="shared" si="40"/>
        <v>1.066209309600552E-2</v>
      </c>
      <c r="J390" s="28"/>
      <c r="K390" s="8">
        <v>42093</v>
      </c>
      <c r="L390" s="5">
        <v>23260.57</v>
      </c>
      <c r="M390" s="6">
        <v>23015.51</v>
      </c>
      <c r="N390" s="6">
        <v>23263.119999999999</v>
      </c>
      <c r="O390" s="6">
        <v>23003.69</v>
      </c>
      <c r="P390" s="37">
        <v>569580</v>
      </c>
    </row>
    <row r="391" spans="2:16" ht="15" thickBot="1">
      <c r="B391" s="9">
        <f t="shared" si="41"/>
        <v>20</v>
      </c>
      <c r="C391" s="15">
        <f t="shared" si="36"/>
        <v>5</v>
      </c>
      <c r="D391" s="25">
        <f t="shared" si="37"/>
        <v>42090</v>
      </c>
      <c r="E391" s="16">
        <f t="shared" si="38"/>
        <v>5.3243913718048486E-3</v>
      </c>
      <c r="F391" s="17">
        <f t="shared" si="39"/>
        <v>3.6663323183525609E-3</v>
      </c>
      <c r="G391" s="18">
        <f t="shared" si="40"/>
        <v>-1.6580590534522877E-3</v>
      </c>
      <c r="J391" s="28"/>
      <c r="K391" s="8">
        <v>42090</v>
      </c>
      <c r="L391" s="5">
        <v>22984.23</v>
      </c>
      <c r="M391" s="6">
        <v>23022.2</v>
      </c>
      <c r="N391" s="6">
        <v>23048.06</v>
      </c>
      <c r="O391" s="6">
        <v>22745.48</v>
      </c>
      <c r="P391" s="37">
        <v>593580</v>
      </c>
    </row>
    <row r="392" spans="2:16" ht="15" thickBot="1">
      <c r="B392" s="9">
        <f t="shared" si="41"/>
        <v>19</v>
      </c>
      <c r="C392" s="15">
        <f t="shared" si="36"/>
        <v>4</v>
      </c>
      <c r="D392" s="25">
        <f t="shared" si="37"/>
        <v>42089</v>
      </c>
      <c r="E392" s="16">
        <f t="shared" si="38"/>
        <v>-6.554303070628209E-3</v>
      </c>
      <c r="F392" s="17">
        <f t="shared" si="39"/>
        <v>-1.0578048917481375E-2</v>
      </c>
      <c r="G392" s="18">
        <f t="shared" si="40"/>
        <v>-4.0237458468531662E-3</v>
      </c>
      <c r="J392" s="28"/>
      <c r="K392" s="8">
        <v>42089</v>
      </c>
      <c r="L392" s="7">
        <v>22900.27</v>
      </c>
      <c r="M392" s="6">
        <v>22993.4</v>
      </c>
      <c r="N392" s="6">
        <v>23062.98</v>
      </c>
      <c r="O392" s="6">
        <v>22659.62</v>
      </c>
      <c r="P392" s="37">
        <v>823240</v>
      </c>
    </row>
    <row r="393" spans="2:16" ht="15" thickBot="1">
      <c r="B393" s="9">
        <f t="shared" si="41"/>
        <v>18</v>
      </c>
      <c r="C393" s="15">
        <f t="shared" si="36"/>
        <v>3</v>
      </c>
      <c r="D393" s="25">
        <f t="shared" si="37"/>
        <v>42088</v>
      </c>
      <c r="E393" s="16">
        <f t="shared" si="38"/>
        <v>-3.2755901462294679E-3</v>
      </c>
      <c r="F393" s="17">
        <f t="shared" si="39"/>
        <v>-8.0614746369980228E-3</v>
      </c>
      <c r="G393" s="18">
        <f t="shared" si="40"/>
        <v>-4.7858844907685549E-3</v>
      </c>
      <c r="J393" s="28"/>
      <c r="K393" s="8">
        <v>42088</v>
      </c>
      <c r="L393" s="7">
        <v>23145.1</v>
      </c>
      <c r="M393" s="6">
        <v>23256.77</v>
      </c>
      <c r="N393" s="6">
        <v>23366.5</v>
      </c>
      <c r="O393" s="6">
        <v>23128.58</v>
      </c>
      <c r="P393" s="37">
        <v>713450</v>
      </c>
    </row>
    <row r="394" spans="2:16" ht="15" thickBot="1">
      <c r="B394" s="9">
        <f t="shared" si="41"/>
        <v>17</v>
      </c>
      <c r="C394" s="15">
        <f t="shared" si="36"/>
        <v>2</v>
      </c>
      <c r="D394" s="25">
        <f t="shared" si="37"/>
        <v>42087</v>
      </c>
      <c r="E394" s="16">
        <f t="shared" si="38"/>
        <v>-1.5097288820111743E-3</v>
      </c>
      <c r="F394" s="17">
        <f t="shared" si="39"/>
        <v>1.1973741733573018E-2</v>
      </c>
      <c r="G394" s="18">
        <f t="shared" si="40"/>
        <v>1.3483470615584192E-2</v>
      </c>
      <c r="J394" s="28"/>
      <c r="K394" s="8">
        <v>42087</v>
      </c>
      <c r="L394" s="5">
        <v>23333.200000000001</v>
      </c>
      <c r="M394" s="6">
        <v>23022.31</v>
      </c>
      <c r="N394" s="6">
        <v>23381.86</v>
      </c>
      <c r="O394" s="6">
        <v>22977.9</v>
      </c>
      <c r="P394" s="37">
        <v>829350</v>
      </c>
    </row>
    <row r="395" spans="2:16" ht="15" thickBot="1">
      <c r="B395" s="9">
        <f t="shared" si="41"/>
        <v>16</v>
      </c>
      <c r="C395" s="15">
        <f t="shared" si="36"/>
        <v>1</v>
      </c>
      <c r="D395" s="25">
        <f t="shared" si="37"/>
        <v>42086</v>
      </c>
      <c r="E395" s="16">
        <f t="shared" si="38"/>
        <v>3.926360462336298E-5</v>
      </c>
      <c r="F395" s="17">
        <f t="shared" si="39"/>
        <v>-5.158633592041717E-3</v>
      </c>
      <c r="G395" s="18">
        <f t="shared" si="40"/>
        <v>-5.19789719666508E-3</v>
      </c>
      <c r="J395" s="28"/>
      <c r="K395" s="8">
        <v>42086</v>
      </c>
      <c r="L395" s="7">
        <v>23057.119999999999</v>
      </c>
      <c r="M395" s="6">
        <v>23177.59</v>
      </c>
      <c r="N395" s="6">
        <v>23196.95</v>
      </c>
      <c r="O395" s="6">
        <v>23014.12</v>
      </c>
      <c r="P395" s="37">
        <v>594330</v>
      </c>
    </row>
    <row r="396" spans="2:16" ht="15" thickBot="1">
      <c r="B396" s="9">
        <f t="shared" si="41"/>
        <v>15</v>
      </c>
      <c r="C396" s="15">
        <f t="shared" si="36"/>
        <v>5</v>
      </c>
      <c r="D396" s="25">
        <f t="shared" si="37"/>
        <v>42083</v>
      </c>
      <c r="E396" s="16">
        <f t="shared" si="38"/>
        <v>4.3639227420799731E-3</v>
      </c>
      <c r="F396" s="17">
        <f t="shared" si="39"/>
        <v>1.6290604279643794E-2</v>
      </c>
      <c r="G396" s="18">
        <f t="shared" si="40"/>
        <v>1.1926681537563821E-2</v>
      </c>
      <c r="J396" s="28"/>
      <c r="K396" s="8">
        <v>42083</v>
      </c>
      <c r="L396" s="5">
        <v>23176.68</v>
      </c>
      <c r="M396" s="6">
        <v>22904.69</v>
      </c>
      <c r="N396" s="6">
        <v>23203.57</v>
      </c>
      <c r="O396" s="6">
        <v>22767.55</v>
      </c>
      <c r="P396" s="37">
        <v>1050000</v>
      </c>
    </row>
    <row r="397" spans="2:16" ht="15" thickBot="1">
      <c r="B397" s="9">
        <f t="shared" si="41"/>
        <v>14</v>
      </c>
      <c r="C397" s="15">
        <f t="shared" si="36"/>
        <v>4</v>
      </c>
      <c r="D397" s="25">
        <f t="shared" si="37"/>
        <v>42082</v>
      </c>
      <c r="E397" s="16">
        <f t="shared" si="38"/>
        <v>4.0580203401787696E-3</v>
      </c>
      <c r="F397" s="17">
        <f t="shared" si="39"/>
        <v>1.0634964739937969E-2</v>
      </c>
      <c r="G397" s="18">
        <f t="shared" si="40"/>
        <v>6.5769443997591992E-3</v>
      </c>
      <c r="J397" s="28"/>
      <c r="K397" s="8">
        <v>42082</v>
      </c>
      <c r="L397" s="5">
        <v>22805.17</v>
      </c>
      <c r="M397" s="6">
        <v>22656.76</v>
      </c>
      <c r="N397" s="6">
        <v>22915.49</v>
      </c>
      <c r="O397" s="6">
        <v>22644.880000000001</v>
      </c>
      <c r="P397" s="37">
        <v>891700</v>
      </c>
    </row>
    <row r="398" spans="2:16" ht="15" thickBot="1">
      <c r="B398" s="9">
        <f t="shared" si="41"/>
        <v>13</v>
      </c>
      <c r="C398" s="15">
        <f t="shared" si="36"/>
        <v>3</v>
      </c>
      <c r="D398" s="25">
        <f t="shared" si="37"/>
        <v>42081</v>
      </c>
      <c r="E398" s="16">
        <f t="shared" si="38"/>
        <v>2.9872737210567823E-3</v>
      </c>
      <c r="F398" s="17">
        <f t="shared" si="39"/>
        <v>-6.9475678011677866E-3</v>
      </c>
      <c r="G398" s="18">
        <f t="shared" si="40"/>
        <v>-9.934841522224569E-3</v>
      </c>
      <c r="J398" s="28"/>
      <c r="K398" s="8">
        <v>42081</v>
      </c>
      <c r="L398" s="7">
        <v>22565.19</v>
      </c>
      <c r="M398" s="6">
        <v>22790.94</v>
      </c>
      <c r="N398" s="6">
        <v>22818.55</v>
      </c>
      <c r="O398" s="6">
        <v>22397.86</v>
      </c>
      <c r="P398" s="37">
        <v>855470</v>
      </c>
    </row>
    <row r="399" spans="2:16" ht="15" thickBot="1">
      <c r="B399" s="9">
        <f t="shared" si="41"/>
        <v>12</v>
      </c>
      <c r="C399" s="15">
        <f t="shared" si="36"/>
        <v>2</v>
      </c>
      <c r="D399" s="25">
        <f t="shared" si="37"/>
        <v>42080</v>
      </c>
      <c r="E399" s="16">
        <f t="shared" si="38"/>
        <v>1.3143825018797628E-3</v>
      </c>
      <c r="F399" s="17">
        <f t="shared" si="39"/>
        <v>-9.0646166834996711E-3</v>
      </c>
      <c r="G399" s="18">
        <f t="shared" si="40"/>
        <v>-1.0378999185379434E-2</v>
      </c>
      <c r="J399" s="28"/>
      <c r="K399" s="8">
        <v>42080</v>
      </c>
      <c r="L399" s="7">
        <v>22723.06</v>
      </c>
      <c r="M399" s="6">
        <v>22961.06</v>
      </c>
      <c r="N399" s="6">
        <v>22987.55</v>
      </c>
      <c r="O399" s="6">
        <v>22603.55</v>
      </c>
      <c r="P399" s="37">
        <v>768820</v>
      </c>
    </row>
    <row r="400" spans="2:16" ht="15" thickBot="1">
      <c r="B400" s="9">
        <f t="shared" si="41"/>
        <v>11</v>
      </c>
      <c r="C400" s="15">
        <f t="shared" si="36"/>
        <v>1</v>
      </c>
      <c r="D400" s="25">
        <f t="shared" si="37"/>
        <v>42079</v>
      </c>
      <c r="E400" s="16">
        <f t="shared" si="38"/>
        <v>3.142171713058195E-3</v>
      </c>
      <c r="F400" s="17">
        <f t="shared" si="39"/>
        <v>9.5682804875847349E-3</v>
      </c>
      <c r="G400" s="18">
        <f t="shared" si="40"/>
        <v>6.4261087745265399E-3</v>
      </c>
      <c r="J400" s="28"/>
      <c r="K400" s="8">
        <v>42079</v>
      </c>
      <c r="L400" s="5">
        <v>22930.92</v>
      </c>
      <c r="M400" s="6">
        <v>22784.959999999999</v>
      </c>
      <c r="N400" s="6">
        <v>23008.89</v>
      </c>
      <c r="O400" s="6">
        <v>22756.57</v>
      </c>
      <c r="P400" s="37">
        <v>903090</v>
      </c>
    </row>
    <row r="401" spans="2:16" ht="15" thickBot="1">
      <c r="B401" s="9">
        <f t="shared" si="41"/>
        <v>10</v>
      </c>
      <c r="C401" s="15">
        <f t="shared" si="36"/>
        <v>5</v>
      </c>
      <c r="D401" s="25">
        <f t="shared" si="37"/>
        <v>42076</v>
      </c>
      <c r="E401" s="16">
        <f t="shared" si="38"/>
        <v>4.3123309604407023E-3</v>
      </c>
      <c r="F401" s="17">
        <f t="shared" si="39"/>
        <v>-4.1834345287234953E-3</v>
      </c>
      <c r="G401" s="18">
        <f t="shared" si="40"/>
        <v>-8.4957654891641976E-3</v>
      </c>
      <c r="J401" s="28"/>
      <c r="K401" s="8">
        <v>42076</v>
      </c>
      <c r="L401" s="7">
        <v>22713.59</v>
      </c>
      <c r="M401" s="6">
        <v>22907.37</v>
      </c>
      <c r="N401" s="6">
        <v>22924.799999999999</v>
      </c>
      <c r="O401" s="6">
        <v>22579.89</v>
      </c>
      <c r="P401" s="37">
        <v>796230</v>
      </c>
    </row>
    <row r="402" spans="2:16" ht="15" thickBot="1">
      <c r="B402" s="9">
        <f t="shared" si="41"/>
        <v>9</v>
      </c>
      <c r="C402" s="15">
        <f t="shared" si="36"/>
        <v>4</v>
      </c>
      <c r="D402" s="25">
        <f t="shared" si="37"/>
        <v>42075</v>
      </c>
      <c r="E402" s="16">
        <f t="shared" si="38"/>
        <v>-2.1022167876016962E-4</v>
      </c>
      <c r="F402" s="17">
        <f t="shared" si="39"/>
        <v>-1.0524222792935856E-3</v>
      </c>
      <c r="G402" s="18">
        <f t="shared" si="40"/>
        <v>-8.4220060053341594E-4</v>
      </c>
      <c r="J402" s="28"/>
      <c r="K402" s="8">
        <v>42075</v>
      </c>
      <c r="L402" s="7">
        <v>22809.01</v>
      </c>
      <c r="M402" s="6">
        <v>22828.240000000002</v>
      </c>
      <c r="N402" s="6">
        <v>22893.1</v>
      </c>
      <c r="O402" s="6">
        <v>22772.87</v>
      </c>
      <c r="P402" s="37">
        <v>784110</v>
      </c>
    </row>
    <row r="403" spans="2:16" ht="15" thickBot="1">
      <c r="B403" s="9">
        <f t="shared" si="41"/>
        <v>8</v>
      </c>
      <c r="C403" s="15">
        <f t="shared" si="36"/>
        <v>3</v>
      </c>
      <c r="D403" s="25">
        <f t="shared" si="37"/>
        <v>42074</v>
      </c>
      <c r="E403" s="16">
        <f t="shared" si="38"/>
        <v>2.8475187921472855E-3</v>
      </c>
      <c r="F403" s="17">
        <f t="shared" si="39"/>
        <v>2.1805916735024189E-2</v>
      </c>
      <c r="G403" s="18">
        <f t="shared" si="40"/>
        <v>1.8958397942876903E-2</v>
      </c>
      <c r="J403" s="28"/>
      <c r="K403" s="8">
        <v>42074</v>
      </c>
      <c r="L403" s="5">
        <v>22833.040000000001</v>
      </c>
      <c r="M403" s="6">
        <v>22409.4</v>
      </c>
      <c r="N403" s="6">
        <v>22860.68</v>
      </c>
      <c r="O403" s="6">
        <v>22408.78</v>
      </c>
      <c r="P403" s="37">
        <v>1030000</v>
      </c>
    </row>
    <row r="404" spans="2:16" ht="15" thickBot="1">
      <c r="B404" s="9">
        <f t="shared" si="41"/>
        <v>7</v>
      </c>
      <c r="C404" s="15">
        <f t="shared" si="36"/>
        <v>2</v>
      </c>
      <c r="D404" s="25">
        <f t="shared" si="37"/>
        <v>42073</v>
      </c>
      <c r="E404" s="16">
        <f t="shared" si="38"/>
        <v>1.3273149902390813E-3</v>
      </c>
      <c r="F404" s="17">
        <f t="shared" si="39"/>
        <v>-9.6869619554739161E-3</v>
      </c>
      <c r="G404" s="18">
        <f t="shared" si="40"/>
        <v>-1.1014276945712997E-2</v>
      </c>
      <c r="J404" s="28"/>
      <c r="K404" s="8">
        <v>42073</v>
      </c>
      <c r="L404" s="7">
        <v>22345.77</v>
      </c>
      <c r="M404" s="6">
        <v>22594.3</v>
      </c>
      <c r="N404" s="6">
        <v>22631.37</v>
      </c>
      <c r="O404" s="6">
        <v>22280.21</v>
      </c>
      <c r="P404" s="37">
        <v>747410</v>
      </c>
    </row>
    <row r="405" spans="2:16" ht="15" thickBot="1">
      <c r="B405" s="9">
        <f t="shared" si="41"/>
        <v>6</v>
      </c>
      <c r="C405" s="15">
        <f t="shared" si="36"/>
        <v>1</v>
      </c>
      <c r="D405" s="25">
        <f t="shared" si="37"/>
        <v>42072</v>
      </c>
      <c r="E405" s="16">
        <f t="shared" si="38"/>
        <v>-4.0528379894393396E-3</v>
      </c>
      <c r="F405" s="17">
        <f t="shared" si="39"/>
        <v>5.7148893325185135E-3</v>
      </c>
      <c r="G405" s="18">
        <f t="shared" si="40"/>
        <v>9.7677273219578531E-3</v>
      </c>
      <c r="J405" s="28"/>
      <c r="K405" s="8">
        <v>42072</v>
      </c>
      <c r="L405" s="5">
        <v>22564.35</v>
      </c>
      <c r="M405" s="6">
        <v>22345.200000000001</v>
      </c>
      <c r="N405" s="6">
        <v>22567.89</v>
      </c>
      <c r="O405" s="6">
        <v>22250.32</v>
      </c>
      <c r="P405" s="37">
        <v>777100</v>
      </c>
    </row>
    <row r="406" spans="2:16" ht="15" thickBot="1">
      <c r="B406" s="9">
        <f t="shared" si="41"/>
        <v>5</v>
      </c>
      <c r="C406" s="15">
        <f t="shared" si="36"/>
        <v>5</v>
      </c>
      <c r="D406" s="25">
        <f t="shared" si="37"/>
        <v>42069</v>
      </c>
      <c r="E406" s="16">
        <f t="shared" si="38"/>
        <v>2.2057956935868095E-3</v>
      </c>
      <c r="F406" s="17">
        <f t="shared" si="39"/>
        <v>1.6093692522527459E-3</v>
      </c>
      <c r="G406" s="18">
        <f t="shared" si="40"/>
        <v>-5.9642644133406364E-4</v>
      </c>
      <c r="J406" s="28"/>
      <c r="K406" s="8">
        <v>42069</v>
      </c>
      <c r="L406" s="5">
        <v>22436.13</v>
      </c>
      <c r="M406" s="6">
        <v>22449.49</v>
      </c>
      <c r="N406" s="6">
        <v>22575.4</v>
      </c>
      <c r="O406" s="6">
        <v>22370.82</v>
      </c>
      <c r="P406" s="37">
        <v>866340</v>
      </c>
    </row>
    <row r="407" spans="2:16" ht="15" thickBot="1">
      <c r="B407" s="9">
        <f t="shared" si="41"/>
        <v>4</v>
      </c>
      <c r="C407" s="15">
        <f t="shared" si="36"/>
        <v>4</v>
      </c>
      <c r="D407" s="25">
        <f t="shared" si="37"/>
        <v>42068</v>
      </c>
      <c r="E407" s="16">
        <f t="shared" si="38"/>
        <v>4.4710877191713738E-3</v>
      </c>
      <c r="F407" s="17">
        <f t="shared" si="39"/>
        <v>1.2154851909622177E-2</v>
      </c>
      <c r="G407" s="18">
        <f t="shared" si="40"/>
        <v>7.6837641904508036E-3</v>
      </c>
      <c r="J407" s="28"/>
      <c r="K407" s="8">
        <v>42068</v>
      </c>
      <c r="L407" s="5">
        <v>22400.080000000002</v>
      </c>
      <c r="M407" s="6">
        <v>22230.03</v>
      </c>
      <c r="N407" s="6">
        <v>22444.44</v>
      </c>
      <c r="O407" s="6">
        <v>22124.02</v>
      </c>
      <c r="P407" s="37">
        <v>815540</v>
      </c>
    </row>
    <row r="408" spans="2:16" ht="15" thickBot="1">
      <c r="B408" s="9">
        <f t="shared" si="41"/>
        <v>3</v>
      </c>
      <c r="C408" s="15">
        <f t="shared" si="36"/>
        <v>3</v>
      </c>
      <c r="D408" s="25">
        <f t="shared" si="37"/>
        <v>42067</v>
      </c>
      <c r="E408" s="16">
        <f t="shared" si="38"/>
        <v>4.5508337131001664E-3</v>
      </c>
      <c r="F408" s="17">
        <f t="shared" si="39"/>
        <v>6.5447228794235368E-3</v>
      </c>
      <c r="G408" s="18">
        <f t="shared" si="40"/>
        <v>1.9938891663233704E-3</v>
      </c>
      <c r="J408" s="28"/>
      <c r="K408" s="8">
        <v>42067</v>
      </c>
      <c r="L408" s="5">
        <v>22131.08</v>
      </c>
      <c r="M408" s="6">
        <v>22087.24</v>
      </c>
      <c r="N408" s="6">
        <v>22131.08</v>
      </c>
      <c r="O408" s="6">
        <v>21860.52</v>
      </c>
      <c r="P408" s="37">
        <v>802360</v>
      </c>
    </row>
    <row r="409" spans="2:16" ht="15" thickBot="1">
      <c r="B409" s="9">
        <f t="shared" si="41"/>
        <v>2</v>
      </c>
      <c r="C409" s="15">
        <f t="shared" si="36"/>
        <v>2</v>
      </c>
      <c r="D409" s="25">
        <f t="shared" si="37"/>
        <v>42066</v>
      </c>
      <c r="E409" s="16">
        <f t="shared" si="38"/>
        <v>3.0586251435131828E-3</v>
      </c>
      <c r="F409" s="17">
        <f t="shared" si="39"/>
        <v>-1.3921677669345489E-2</v>
      </c>
      <c r="G409" s="18">
        <f t="shared" si="40"/>
        <v>-1.6980302812858672E-2</v>
      </c>
      <c r="J409" s="28"/>
      <c r="K409" s="8">
        <v>42066</v>
      </c>
      <c r="L409" s="7">
        <v>21987.18</v>
      </c>
      <c r="M409" s="6">
        <v>22365.8</v>
      </c>
      <c r="N409" s="6">
        <v>22410.97</v>
      </c>
      <c r="O409" s="6">
        <v>21942.47</v>
      </c>
      <c r="P409" s="37">
        <v>929970</v>
      </c>
    </row>
    <row r="410" spans="2:16" ht="15" thickBot="1">
      <c r="B410" s="19">
        <v>1</v>
      </c>
      <c r="C410" s="15">
        <f t="shared" si="36"/>
        <v>1</v>
      </c>
      <c r="D410" s="25">
        <f t="shared" si="37"/>
        <v>42065</v>
      </c>
      <c r="E410" s="16">
        <f t="shared" si="38"/>
        <v>1.9549830130911605E-3</v>
      </c>
      <c r="F410" s="17">
        <f t="shared" si="39"/>
        <v>-1.7991932057738191E-3</v>
      </c>
      <c r="G410" s="18">
        <f t="shared" si="40"/>
        <v>-3.7541762188649797E-3</v>
      </c>
      <c r="J410" s="28"/>
      <c r="K410" s="8">
        <v>42065</v>
      </c>
      <c r="L410" s="7">
        <v>22297.599999999999</v>
      </c>
      <c r="M410" s="6">
        <v>22381.46</v>
      </c>
      <c r="N410" s="6">
        <v>22514.89</v>
      </c>
      <c r="O410" s="6">
        <v>22184.06</v>
      </c>
      <c r="P410" s="37">
        <v>782600</v>
      </c>
    </row>
    <row r="411" spans="2:16" ht="15" thickBot="1">
      <c r="B411" s="9">
        <f t="shared" si="41"/>
        <v>20</v>
      </c>
      <c r="C411" s="15">
        <f t="shared" si="36"/>
        <v>5</v>
      </c>
      <c r="D411" s="25">
        <f t="shared" si="37"/>
        <v>42062</v>
      </c>
      <c r="E411" s="16">
        <f t="shared" si="38"/>
        <v>4.7461936835024865E-4</v>
      </c>
      <c r="F411" s="17">
        <f t="shared" si="39"/>
        <v>7.7897129410022803E-3</v>
      </c>
      <c r="G411" s="18">
        <f t="shared" si="40"/>
        <v>7.3150935726520316E-3</v>
      </c>
      <c r="J411" s="28"/>
      <c r="K411" s="8">
        <v>42062</v>
      </c>
      <c r="L411" s="5">
        <v>22337.79</v>
      </c>
      <c r="M411" s="6">
        <v>22175.65</v>
      </c>
      <c r="N411" s="6">
        <v>22338.82</v>
      </c>
      <c r="O411" s="6">
        <v>22098.43</v>
      </c>
      <c r="P411" s="37">
        <v>796900</v>
      </c>
    </row>
    <row r="412" spans="2:16" ht="15" thickBot="1">
      <c r="B412" s="9">
        <f t="shared" si="41"/>
        <v>19</v>
      </c>
      <c r="C412" s="15">
        <f t="shared" si="36"/>
        <v>4</v>
      </c>
      <c r="D412" s="25">
        <f t="shared" si="37"/>
        <v>42061</v>
      </c>
      <c r="E412" s="16">
        <f t="shared" si="38"/>
        <v>-1.1897576905761653E-4</v>
      </c>
      <c r="F412" s="17">
        <f t="shared" si="39"/>
        <v>1.0388271268400251E-2</v>
      </c>
      <c r="G412" s="18">
        <f t="shared" si="40"/>
        <v>1.0507247037457867E-2</v>
      </c>
      <c r="J412" s="28"/>
      <c r="K412" s="8">
        <v>42061</v>
      </c>
      <c r="L412" s="5">
        <v>22165.13</v>
      </c>
      <c r="M412" s="6">
        <v>21934.63</v>
      </c>
      <c r="N412" s="6">
        <v>22172.62</v>
      </c>
      <c r="O412" s="6">
        <v>21910.34</v>
      </c>
      <c r="P412" s="37">
        <v>837350</v>
      </c>
    </row>
    <row r="413" spans="2:16" ht="15" thickBot="1">
      <c r="B413" s="9">
        <f t="shared" si="41"/>
        <v>18</v>
      </c>
      <c r="C413" s="15">
        <f t="shared" si="36"/>
        <v>3</v>
      </c>
      <c r="D413" s="25">
        <f t="shared" si="37"/>
        <v>42060</v>
      </c>
      <c r="E413" s="16">
        <f t="shared" si="38"/>
        <v>-1.8185306831904891E-3</v>
      </c>
      <c r="F413" s="17">
        <f t="shared" si="39"/>
        <v>-9.5942392126321385E-3</v>
      </c>
      <c r="G413" s="18">
        <f t="shared" si="40"/>
        <v>-7.7757085294416495E-3</v>
      </c>
      <c r="J413" s="28"/>
      <c r="K413" s="8">
        <v>42060</v>
      </c>
      <c r="L413" s="7">
        <v>21937.24</v>
      </c>
      <c r="M413" s="6">
        <v>22109.47</v>
      </c>
      <c r="N413" s="6">
        <v>22133.32</v>
      </c>
      <c r="O413" s="6">
        <v>21853.07</v>
      </c>
      <c r="P413" s="37">
        <v>677280</v>
      </c>
    </row>
    <row r="414" spans="2:16" ht="15" thickBot="1">
      <c r="B414" s="9">
        <f t="shared" si="41"/>
        <v>17</v>
      </c>
      <c r="C414" s="15">
        <f t="shared" si="36"/>
        <v>2</v>
      </c>
      <c r="D414" s="25">
        <f t="shared" si="37"/>
        <v>42059</v>
      </c>
      <c r="E414" s="16">
        <f t="shared" si="38"/>
        <v>2.3674792128502986E-4</v>
      </c>
      <c r="F414" s="17">
        <f t="shared" si="39"/>
        <v>8.4437056695207957E-3</v>
      </c>
      <c r="G414" s="18">
        <f t="shared" si="40"/>
        <v>8.2069577482357658E-3</v>
      </c>
      <c r="J414" s="28"/>
      <c r="K414" s="8">
        <v>42059</v>
      </c>
      <c r="L414" s="5">
        <v>22149.75</v>
      </c>
      <c r="M414" s="6">
        <v>21969.49</v>
      </c>
      <c r="N414" s="6">
        <v>22167.17</v>
      </c>
      <c r="O414" s="6">
        <v>21775.59</v>
      </c>
      <c r="P414" s="37">
        <v>863080</v>
      </c>
    </row>
    <row r="415" spans="2:16" ht="15" thickBot="1">
      <c r="B415" s="9">
        <f t="shared" si="41"/>
        <v>16</v>
      </c>
      <c r="C415" s="15">
        <f t="shared" si="36"/>
        <v>1</v>
      </c>
      <c r="D415" s="25">
        <f t="shared" si="37"/>
        <v>42058</v>
      </c>
      <c r="E415" s="16">
        <f t="shared" si="38"/>
        <v>9.0666986531346971E-3</v>
      </c>
      <c r="F415" s="17">
        <f t="shared" si="39"/>
        <v>5.5726043226598243E-3</v>
      </c>
      <c r="G415" s="18">
        <f t="shared" si="40"/>
        <v>-3.4940943304748728E-3</v>
      </c>
      <c r="J415" s="28"/>
      <c r="K415" s="8">
        <v>42058</v>
      </c>
      <c r="L415" s="5">
        <v>21964.29</v>
      </c>
      <c r="M415" s="6">
        <v>22040.61</v>
      </c>
      <c r="N415" s="6">
        <v>22083.47</v>
      </c>
      <c r="O415" s="6">
        <v>21862.77</v>
      </c>
      <c r="P415" s="37">
        <v>1100000</v>
      </c>
    </row>
    <row r="416" spans="2:16" ht="15" thickBot="1">
      <c r="B416" s="9">
        <f t="shared" si="41"/>
        <v>15</v>
      </c>
      <c r="C416" s="15">
        <f t="shared" si="36"/>
        <v>5</v>
      </c>
      <c r="D416" s="25">
        <f t="shared" si="37"/>
        <v>42055</v>
      </c>
      <c r="E416" s="16">
        <f t="shared" si="38"/>
        <v>-7.4304795139784607E-3</v>
      </c>
      <c r="F416" s="17">
        <f t="shared" si="39"/>
        <v>2.4134946429505977E-3</v>
      </c>
      <c r="G416" s="18">
        <f t="shared" si="40"/>
        <v>9.8439741569290584E-3</v>
      </c>
      <c r="J416" s="28"/>
      <c r="K416" s="8">
        <v>42055</v>
      </c>
      <c r="L416" s="5">
        <v>21842.57</v>
      </c>
      <c r="M416" s="6">
        <v>21628.07</v>
      </c>
      <c r="N416" s="6">
        <v>21852.62</v>
      </c>
      <c r="O416" s="6">
        <v>21609.64</v>
      </c>
      <c r="P416" s="37">
        <v>1040000</v>
      </c>
    </row>
    <row r="417" spans="2:16" ht="15" thickBot="1">
      <c r="B417" s="9">
        <f t="shared" si="41"/>
        <v>14</v>
      </c>
      <c r="C417" s="15">
        <f t="shared" si="36"/>
        <v>4</v>
      </c>
      <c r="D417" s="25">
        <f t="shared" si="37"/>
        <v>42054</v>
      </c>
      <c r="E417" s="16">
        <f t="shared" si="38"/>
        <v>-1.8070734413300205E-3</v>
      </c>
      <c r="F417" s="17">
        <f t="shared" si="39"/>
        <v>6.0320425424054136E-3</v>
      </c>
      <c r="G417" s="18">
        <f t="shared" si="40"/>
        <v>7.8391159837354341E-3</v>
      </c>
      <c r="J417" s="28"/>
      <c r="K417" s="8">
        <v>42054</v>
      </c>
      <c r="L417" s="5">
        <v>21789.98</v>
      </c>
      <c r="M417" s="6">
        <v>21620.19</v>
      </c>
      <c r="N417" s="6">
        <v>21801.61</v>
      </c>
      <c r="O417" s="6">
        <v>21531.91</v>
      </c>
      <c r="P417" s="37">
        <v>980710</v>
      </c>
    </row>
    <row r="418" spans="2:16" ht="15" thickBot="1">
      <c r="B418" s="9">
        <f t="shared" si="41"/>
        <v>13</v>
      </c>
      <c r="C418" s="15">
        <f t="shared" si="36"/>
        <v>3</v>
      </c>
      <c r="D418" s="25">
        <f t="shared" si="37"/>
        <v>42053</v>
      </c>
      <c r="E418" s="16">
        <f t="shared" si="38"/>
        <v>1.0792687944513046E-2</v>
      </c>
      <c r="F418" s="17">
        <f t="shared" si="39"/>
        <v>1.8483747722330079E-2</v>
      </c>
      <c r="G418" s="18">
        <f t="shared" si="40"/>
        <v>7.6910597778170331E-3</v>
      </c>
      <c r="J418" s="28"/>
      <c r="K418" s="8">
        <v>42053</v>
      </c>
      <c r="L418" s="5">
        <v>21659.33</v>
      </c>
      <c r="M418" s="6">
        <v>21495.77</v>
      </c>
      <c r="N418" s="6">
        <v>21659.33</v>
      </c>
      <c r="O418" s="6">
        <v>21453.38</v>
      </c>
      <c r="P418" s="37">
        <v>892160</v>
      </c>
    </row>
    <row r="419" spans="2:16" ht="15" thickBot="1">
      <c r="B419" s="9">
        <f t="shared" si="41"/>
        <v>12</v>
      </c>
      <c r="C419" s="15">
        <f t="shared" si="36"/>
        <v>2</v>
      </c>
      <c r="D419" s="25">
        <f t="shared" si="37"/>
        <v>42052</v>
      </c>
      <c r="E419" s="16">
        <f t="shared" si="38"/>
        <v>-4.5209639683565506E-3</v>
      </c>
      <c r="F419" s="17">
        <f t="shared" si="39"/>
        <v>4.7439648036646798E-3</v>
      </c>
      <c r="G419" s="18">
        <f t="shared" si="40"/>
        <v>9.2649287720212303E-3</v>
      </c>
      <c r="J419" s="28"/>
      <c r="K419" s="8">
        <v>42052</v>
      </c>
      <c r="L419" s="5">
        <v>21266.25</v>
      </c>
      <c r="M419" s="6">
        <v>21070.15</v>
      </c>
      <c r="N419" s="6">
        <v>21328.25</v>
      </c>
      <c r="O419" s="6">
        <v>20890.41</v>
      </c>
      <c r="P419" s="37">
        <v>871600</v>
      </c>
    </row>
    <row r="420" spans="2:16" ht="15" thickBot="1">
      <c r="B420" s="9">
        <f t="shared" si="41"/>
        <v>11</v>
      </c>
      <c r="C420" s="15">
        <f t="shared" si="36"/>
        <v>1</v>
      </c>
      <c r="D420" s="25">
        <f t="shared" si="37"/>
        <v>42051</v>
      </c>
      <c r="E420" s="16">
        <f t="shared" si="38"/>
        <v>-2.7754105697631593E-3</v>
      </c>
      <c r="F420" s="17">
        <f t="shared" si="39"/>
        <v>-1.8029557533058016E-3</v>
      </c>
      <c r="G420" s="18">
        <f t="shared" si="40"/>
        <v>9.7245481645735765E-4</v>
      </c>
      <c r="J420" s="28"/>
      <c r="K420" s="8">
        <v>42051</v>
      </c>
      <c r="L420" s="7">
        <v>21165.84</v>
      </c>
      <c r="M420" s="6">
        <v>21145.22</v>
      </c>
      <c r="N420" s="6">
        <v>21280.73</v>
      </c>
      <c r="O420" s="6">
        <v>21079.37</v>
      </c>
      <c r="P420" s="37">
        <v>694200</v>
      </c>
    </row>
    <row r="421" spans="2:16" ht="15" thickBot="1">
      <c r="B421" s="9">
        <f t="shared" si="41"/>
        <v>10</v>
      </c>
      <c r="C421" s="15">
        <f t="shared" si="36"/>
        <v>5</v>
      </c>
      <c r="D421" s="25">
        <f t="shared" si="37"/>
        <v>42048</v>
      </c>
      <c r="E421" s="16">
        <f t="shared" si="38"/>
        <v>4.9550276604528598E-3</v>
      </c>
      <c r="F421" s="17">
        <f t="shared" si="39"/>
        <v>9.5777204206464184E-3</v>
      </c>
      <c r="G421" s="18">
        <f t="shared" si="40"/>
        <v>4.6226927601935586E-3</v>
      </c>
      <c r="J421" s="28"/>
      <c r="K421" s="8">
        <v>42048</v>
      </c>
      <c r="L421" s="5">
        <v>21204.07</v>
      </c>
      <c r="M421" s="6">
        <v>21106.98</v>
      </c>
      <c r="N421" s="6">
        <v>21287.81</v>
      </c>
      <c r="O421" s="6">
        <v>21088.43</v>
      </c>
      <c r="P421" s="37">
        <v>1090000</v>
      </c>
    </row>
    <row r="422" spans="2:16" ht="15" thickBot="1">
      <c r="B422" s="9">
        <f t="shared" si="41"/>
        <v>9</v>
      </c>
      <c r="C422" s="15">
        <f t="shared" si="36"/>
        <v>4</v>
      </c>
      <c r="D422" s="25">
        <f t="shared" si="37"/>
        <v>42047</v>
      </c>
      <c r="E422" s="16">
        <f t="shared" si="38"/>
        <v>-1.0716841974232061E-3</v>
      </c>
      <c r="F422" s="17">
        <f t="shared" si="39"/>
        <v>2.1256204487458907E-2</v>
      </c>
      <c r="G422" s="18">
        <f t="shared" si="40"/>
        <v>2.2327888684882113E-2</v>
      </c>
      <c r="J422" s="28"/>
      <c r="K422" s="8">
        <v>42047</v>
      </c>
      <c r="L422" s="5">
        <v>21002.91</v>
      </c>
      <c r="M422" s="6">
        <v>20543.72</v>
      </c>
      <c r="N422" s="6">
        <v>21060.71</v>
      </c>
      <c r="O422" s="6">
        <v>20496.59</v>
      </c>
      <c r="P422" s="37">
        <v>1190000</v>
      </c>
    </row>
    <row r="423" spans="2:16" ht="15" thickBot="1">
      <c r="B423" s="9">
        <f t="shared" si="41"/>
        <v>8</v>
      </c>
      <c r="C423" s="15">
        <f t="shared" si="36"/>
        <v>3</v>
      </c>
      <c r="D423" s="25">
        <f t="shared" si="37"/>
        <v>42046</v>
      </c>
      <c r="E423" s="16">
        <f t="shared" si="38"/>
        <v>2.903168685342683E-3</v>
      </c>
      <c r="F423" s="17">
        <f t="shared" si="39"/>
        <v>-7.7136376554055586E-3</v>
      </c>
      <c r="G423" s="18">
        <f t="shared" si="40"/>
        <v>-1.0616806340748242E-2</v>
      </c>
      <c r="J423" s="28"/>
      <c r="K423" s="8">
        <v>42046</v>
      </c>
      <c r="L423" s="7">
        <v>20565.759999999998</v>
      </c>
      <c r="M423" s="6">
        <v>20785.8</v>
      </c>
      <c r="N423" s="6">
        <v>20794.599999999999</v>
      </c>
      <c r="O423" s="6">
        <v>20518.439999999999</v>
      </c>
      <c r="P423" s="37">
        <v>822210</v>
      </c>
    </row>
    <row r="424" spans="2:16" ht="15" thickBot="1">
      <c r="B424" s="9">
        <f t="shared" si="41"/>
        <v>7</v>
      </c>
      <c r="C424" s="15">
        <f t="shared" si="36"/>
        <v>2</v>
      </c>
      <c r="D424" s="25">
        <f t="shared" si="37"/>
        <v>42045</v>
      </c>
      <c r="E424" s="16">
        <f t="shared" si="38"/>
        <v>2.5188249018983644E-3</v>
      </c>
      <c r="F424" s="17">
        <f t="shared" si="39"/>
        <v>1.7626373324220568E-2</v>
      </c>
      <c r="G424" s="18">
        <f t="shared" si="40"/>
        <v>1.5107548422322203E-2</v>
      </c>
      <c r="J424" s="28"/>
      <c r="K424" s="8">
        <v>42045</v>
      </c>
      <c r="L424" s="5">
        <v>20725.63</v>
      </c>
      <c r="M424" s="6">
        <v>20417.939999999999</v>
      </c>
      <c r="N424" s="6">
        <v>20798.189999999999</v>
      </c>
      <c r="O424" s="6">
        <v>20330.09</v>
      </c>
      <c r="P424" s="37">
        <v>847660</v>
      </c>
    </row>
    <row r="425" spans="2:16" ht="15" thickBot="1">
      <c r="B425" s="9">
        <f t="shared" si="41"/>
        <v>6</v>
      </c>
      <c r="C425" s="15">
        <f t="shared" si="36"/>
        <v>1</v>
      </c>
      <c r="D425" s="25">
        <f t="shared" si="37"/>
        <v>42044</v>
      </c>
      <c r="E425" s="16">
        <f t="shared" si="38"/>
        <v>-1.0916277550800269E-2</v>
      </c>
      <c r="F425" s="17">
        <f t="shared" si="39"/>
        <v>-1.8982945694614117E-2</v>
      </c>
      <c r="G425" s="18">
        <f t="shared" si="40"/>
        <v>-8.0666681438138488E-3</v>
      </c>
      <c r="J425" s="28"/>
      <c r="K425" s="8">
        <v>42044</v>
      </c>
      <c r="L425" s="7">
        <v>20366.64</v>
      </c>
      <c r="M425" s="6">
        <v>20534.11</v>
      </c>
      <c r="N425" s="6">
        <v>20604.900000000001</v>
      </c>
      <c r="O425" s="6">
        <v>20246.54</v>
      </c>
      <c r="P425" s="37">
        <v>850940</v>
      </c>
    </row>
    <row r="426" spans="2:16" ht="15" thickBot="1">
      <c r="B426" s="9">
        <f t="shared" si="41"/>
        <v>5</v>
      </c>
      <c r="C426" s="15">
        <f t="shared" si="36"/>
        <v>5</v>
      </c>
      <c r="D426" s="25">
        <f t="shared" si="37"/>
        <v>42041</v>
      </c>
      <c r="E426" s="16">
        <f t="shared" si="38"/>
        <v>2.7138606228427342E-4</v>
      </c>
      <c r="F426" s="17">
        <f t="shared" si="39"/>
        <v>-2.8008002286366018E-3</v>
      </c>
      <c r="G426" s="18">
        <f t="shared" si="40"/>
        <v>-3.0721862909208753E-3</v>
      </c>
      <c r="J426" s="28"/>
      <c r="K426" s="8">
        <v>42041</v>
      </c>
      <c r="L426" s="7">
        <v>20760.740000000002</v>
      </c>
      <c r="M426" s="6">
        <v>20824.7</v>
      </c>
      <c r="N426" s="6">
        <v>20892.52</v>
      </c>
      <c r="O426" s="6">
        <v>20703.95</v>
      </c>
      <c r="P426" s="37">
        <v>732350</v>
      </c>
    </row>
    <row r="427" spans="2:16" ht="15" thickBot="1">
      <c r="B427" s="9">
        <f t="shared" si="41"/>
        <v>4</v>
      </c>
      <c r="C427" s="15">
        <f t="shared" si="36"/>
        <v>4</v>
      </c>
      <c r="D427" s="25">
        <f t="shared" si="37"/>
        <v>42040</v>
      </c>
      <c r="E427" s="16">
        <f t="shared" si="38"/>
        <v>-1.004024022848149E-2</v>
      </c>
      <c r="F427" s="17">
        <f t="shared" si="39"/>
        <v>-5.8581597604400182E-3</v>
      </c>
      <c r="G427" s="18">
        <f t="shared" si="40"/>
        <v>4.1820804680414714E-3</v>
      </c>
      <c r="J427" s="28"/>
      <c r="K427" s="8">
        <v>42040</v>
      </c>
      <c r="L427" s="7">
        <v>20819.05</v>
      </c>
      <c r="M427" s="6">
        <v>20731.47</v>
      </c>
      <c r="N427" s="6">
        <v>20859.189999999999</v>
      </c>
      <c r="O427" s="6">
        <v>20621.43</v>
      </c>
      <c r="P427" s="37">
        <v>833800</v>
      </c>
    </row>
    <row r="428" spans="2:16" ht="15" thickBot="1">
      <c r="B428" s="9">
        <f t="shared" si="41"/>
        <v>3</v>
      </c>
      <c r="C428" s="15">
        <f t="shared" si="36"/>
        <v>3</v>
      </c>
      <c r="D428" s="25">
        <f t="shared" si="37"/>
        <v>42039</v>
      </c>
      <c r="E428" s="16">
        <f t="shared" si="38"/>
        <v>-2.7699051236107497E-4</v>
      </c>
      <c r="F428" s="17">
        <f t="shared" si="39"/>
        <v>-3.3229342909019133E-3</v>
      </c>
      <c r="G428" s="18">
        <f t="shared" si="40"/>
        <v>-3.0459437785408383E-3</v>
      </c>
      <c r="J428" s="28"/>
      <c r="K428" s="8">
        <v>42039</v>
      </c>
      <c r="L428" s="7">
        <v>20941.73</v>
      </c>
      <c r="M428" s="6">
        <v>21005.73</v>
      </c>
      <c r="N428" s="6">
        <v>21072.42</v>
      </c>
      <c r="O428" s="6">
        <v>20848.98</v>
      </c>
      <c r="P428" s="37">
        <v>968850</v>
      </c>
    </row>
    <row r="429" spans="2:16" ht="15" thickBot="1">
      <c r="B429" s="9">
        <f t="shared" si="41"/>
        <v>2</v>
      </c>
      <c r="C429" s="15">
        <f t="shared" si="36"/>
        <v>2</v>
      </c>
      <c r="D429" s="25">
        <f t="shared" si="37"/>
        <v>42038</v>
      </c>
      <c r="E429" s="16">
        <f t="shared" si="38"/>
        <v>6.8965214254439466E-3</v>
      </c>
      <c r="F429" s="17">
        <f t="shared" si="39"/>
        <v>2.5669625968175902E-2</v>
      </c>
      <c r="G429" s="18">
        <f t="shared" si="40"/>
        <v>1.8773104542731955E-2</v>
      </c>
      <c r="J429" s="28"/>
      <c r="K429" s="8">
        <v>42038</v>
      </c>
      <c r="L429" s="5">
        <v>21011.55</v>
      </c>
      <c r="M429" s="6">
        <v>20626.97</v>
      </c>
      <c r="N429" s="6">
        <v>21011.55</v>
      </c>
      <c r="O429" s="6">
        <v>20602.55</v>
      </c>
      <c r="P429" s="37">
        <v>1030000</v>
      </c>
    </row>
    <row r="430" spans="2:16" ht="15" thickBot="1">
      <c r="B430" s="19">
        <v>1</v>
      </c>
      <c r="C430" s="15">
        <f t="shared" si="36"/>
        <v>1</v>
      </c>
      <c r="D430" s="25">
        <f t="shared" si="37"/>
        <v>42037</v>
      </c>
      <c r="E430" s="16">
        <f t="shared" si="38"/>
        <v>4.5343743324270935E-3</v>
      </c>
      <c r="F430" s="17">
        <f t="shared" si="39"/>
        <v>-8.6278457503119466E-4</v>
      </c>
      <c r="G430" s="18">
        <f t="shared" si="40"/>
        <v>-5.3971589074582882E-3</v>
      </c>
      <c r="J430" s="28"/>
      <c r="K430" s="8">
        <v>42037</v>
      </c>
      <c r="L430" s="7">
        <v>20485.689999999999</v>
      </c>
      <c r="M430" s="6">
        <v>20596.349999999999</v>
      </c>
      <c r="N430" s="6">
        <v>20605.18</v>
      </c>
      <c r="O430" s="6">
        <v>20286.43</v>
      </c>
      <c r="P430" s="37">
        <v>907510</v>
      </c>
    </row>
    <row r="431" spans="2:16" ht="15" thickBot="1">
      <c r="B431" s="9">
        <f t="shared" si="41"/>
        <v>21</v>
      </c>
      <c r="C431" s="15">
        <f t="shared" si="36"/>
        <v>5</v>
      </c>
      <c r="D431" s="25">
        <f t="shared" si="37"/>
        <v>42034</v>
      </c>
      <c r="E431" s="16">
        <f t="shared" si="38"/>
        <v>4.1653474942846547E-3</v>
      </c>
      <c r="F431" s="17">
        <f t="shared" si="39"/>
        <v>-4.3867742204904969E-3</v>
      </c>
      <c r="G431" s="18">
        <f t="shared" si="40"/>
        <v>-8.5521217147751516E-3</v>
      </c>
      <c r="J431" s="28"/>
      <c r="K431" s="8">
        <v>42034</v>
      </c>
      <c r="L431" s="7">
        <v>20503.38</v>
      </c>
      <c r="M431" s="6">
        <v>20679.5</v>
      </c>
      <c r="N431" s="6">
        <v>20723.22</v>
      </c>
      <c r="O431" s="6">
        <v>20411.02</v>
      </c>
      <c r="P431" s="37">
        <v>1060000</v>
      </c>
    </row>
    <row r="432" spans="2:16" ht="15" thickBot="1">
      <c r="B432" s="9">
        <f t="shared" si="41"/>
        <v>20</v>
      </c>
      <c r="C432" s="15">
        <f t="shared" si="36"/>
        <v>4</v>
      </c>
      <c r="D432" s="25">
        <f t="shared" si="37"/>
        <v>42033</v>
      </c>
      <c r="E432" s="16">
        <f t="shared" si="38"/>
        <v>-3.1501422959950842E-3</v>
      </c>
      <c r="F432" s="17">
        <f t="shared" si="39"/>
        <v>5.6293350470055792E-3</v>
      </c>
      <c r="G432" s="18">
        <f t="shared" si="40"/>
        <v>8.7794773430006634E-3</v>
      </c>
      <c r="J432" s="28"/>
      <c r="K432" s="8">
        <v>42033</v>
      </c>
      <c r="L432" s="5">
        <v>20593.72</v>
      </c>
      <c r="M432" s="6">
        <v>20413.93</v>
      </c>
      <c r="N432" s="6">
        <v>20645.509999999998</v>
      </c>
      <c r="O432" s="6">
        <v>20231.29</v>
      </c>
      <c r="P432" s="37">
        <v>947110</v>
      </c>
    </row>
    <row r="433" spans="2:16" ht="15" thickBot="1">
      <c r="B433" s="9">
        <f t="shared" si="41"/>
        <v>19</v>
      </c>
      <c r="C433" s="15">
        <f t="shared" si="36"/>
        <v>3</v>
      </c>
      <c r="D433" s="25">
        <f t="shared" si="37"/>
        <v>42032</v>
      </c>
      <c r="E433" s="16">
        <f t="shared" si="38"/>
        <v>5.5047462391903945E-3</v>
      </c>
      <c r="F433" s="17">
        <f t="shared" si="39"/>
        <v>-8.107210079328464E-3</v>
      </c>
      <c r="G433" s="18">
        <f t="shared" si="40"/>
        <v>-1.3611956318518859E-2</v>
      </c>
      <c r="J433" s="28"/>
      <c r="K433" s="8">
        <v>42032</v>
      </c>
      <c r="L433" s="7">
        <v>20478.439999999999</v>
      </c>
      <c r="M433" s="6">
        <v>20759.47</v>
      </c>
      <c r="N433" s="6">
        <v>20802.73</v>
      </c>
      <c r="O433" s="6">
        <v>20422.919999999998</v>
      </c>
      <c r="P433" s="37">
        <v>826930</v>
      </c>
    </row>
    <row r="434" spans="2:16" ht="15" thickBot="1">
      <c r="B434" s="9">
        <f t="shared" si="41"/>
        <v>18</v>
      </c>
      <c r="C434" s="15">
        <f t="shared" si="36"/>
        <v>2</v>
      </c>
      <c r="D434" s="25">
        <f t="shared" si="37"/>
        <v>42031</v>
      </c>
      <c r="E434" s="16">
        <f t="shared" si="38"/>
        <v>-2.0205504530581564E-3</v>
      </c>
      <c r="F434" s="17">
        <f t="shared" si="39"/>
        <v>-5.3428480029600323E-3</v>
      </c>
      <c r="G434" s="18">
        <f t="shared" si="40"/>
        <v>-3.3222975499018759E-3</v>
      </c>
      <c r="J434" s="28"/>
      <c r="K434" s="8">
        <v>42031</v>
      </c>
      <c r="L434" s="7">
        <v>20645.82</v>
      </c>
      <c r="M434" s="6">
        <v>20714.78</v>
      </c>
      <c r="N434" s="6">
        <v>20778.39</v>
      </c>
      <c r="O434" s="6">
        <v>20454.82</v>
      </c>
      <c r="P434" s="37">
        <v>765290</v>
      </c>
    </row>
    <row r="435" spans="2:16" ht="15" thickBot="1">
      <c r="B435" s="9">
        <f t="shared" si="41"/>
        <v>17</v>
      </c>
      <c r="C435" s="15">
        <f t="shared" si="36"/>
        <v>1</v>
      </c>
      <c r="D435" s="25">
        <f t="shared" si="37"/>
        <v>42030</v>
      </c>
      <c r="E435" s="16">
        <f t="shared" si="38"/>
        <v>-8.3295361785595823E-3</v>
      </c>
      <c r="F435" s="17">
        <f t="shared" si="39"/>
        <v>1.1548386310749503E-2</v>
      </c>
      <c r="G435" s="18">
        <f t="shared" si="40"/>
        <v>1.9877922489309086E-2</v>
      </c>
      <c r="J435" s="28"/>
      <c r="K435" s="8">
        <v>42030</v>
      </c>
      <c r="L435" s="5">
        <v>20756.72</v>
      </c>
      <c r="M435" s="6">
        <v>20348.830000000002</v>
      </c>
      <c r="N435" s="6">
        <v>20756.72</v>
      </c>
      <c r="O435" s="6">
        <v>20238.95</v>
      </c>
      <c r="P435" s="37">
        <v>813580</v>
      </c>
    </row>
    <row r="436" spans="2:16" ht="15" thickBot="1">
      <c r="B436" s="9">
        <f t="shared" si="41"/>
        <v>16</v>
      </c>
      <c r="C436" s="15">
        <f t="shared" si="36"/>
        <v>5</v>
      </c>
      <c r="D436" s="25">
        <f t="shared" si="37"/>
        <v>42027</v>
      </c>
      <c r="E436" s="16">
        <f t="shared" si="38"/>
        <v>6.0884994142571536E-3</v>
      </c>
      <c r="F436" s="17">
        <f t="shared" si="39"/>
        <v>2.4431184763460401E-3</v>
      </c>
      <c r="G436" s="18">
        <f t="shared" si="40"/>
        <v>-3.6453809379111135E-3</v>
      </c>
      <c r="J436" s="28"/>
      <c r="K436" s="8">
        <v>42027</v>
      </c>
      <c r="L436" s="5">
        <v>20519.75</v>
      </c>
      <c r="M436" s="6">
        <v>20594.37</v>
      </c>
      <c r="N436" s="6">
        <v>20676.7</v>
      </c>
      <c r="O436" s="6">
        <v>20389.240000000002</v>
      </c>
      <c r="P436" s="37">
        <v>1310000</v>
      </c>
    </row>
    <row r="437" spans="2:16" ht="15" thickBot="1">
      <c r="B437" s="9">
        <f t="shared" si="41"/>
        <v>15</v>
      </c>
      <c r="C437" s="15">
        <f t="shared" si="36"/>
        <v>4</v>
      </c>
      <c r="D437" s="25">
        <f t="shared" si="37"/>
        <v>42026</v>
      </c>
      <c r="E437" s="16">
        <f t="shared" si="38"/>
        <v>1.9938532866299319E-3</v>
      </c>
      <c r="F437" s="17">
        <f t="shared" si="39"/>
        <v>2.4439216251505913E-2</v>
      </c>
      <c r="G437" s="18">
        <f t="shared" si="40"/>
        <v>2.2445362964875981E-2</v>
      </c>
      <c r="J437" s="28"/>
      <c r="K437" s="8">
        <v>42026</v>
      </c>
      <c r="L437" s="5">
        <v>20469.740000000002</v>
      </c>
      <c r="M437" s="6">
        <v>20021.25</v>
      </c>
      <c r="N437" s="6">
        <v>20556.29</v>
      </c>
      <c r="O437" s="6">
        <v>20012.41</v>
      </c>
      <c r="P437" s="37">
        <v>1350000</v>
      </c>
    </row>
    <row r="438" spans="2:16" ht="15" thickBot="1">
      <c r="B438" s="9">
        <f t="shared" si="41"/>
        <v>14</v>
      </c>
      <c r="C438" s="15">
        <f t="shared" si="36"/>
        <v>3</v>
      </c>
      <c r="D438" s="25">
        <f t="shared" si="37"/>
        <v>42025</v>
      </c>
      <c r="E438" s="16">
        <f t="shared" si="38"/>
        <v>3.326269440541596E-3</v>
      </c>
      <c r="F438" s="17">
        <f t="shared" si="39"/>
        <v>1.6417700901282251E-2</v>
      </c>
      <c r="G438" s="18">
        <f t="shared" si="40"/>
        <v>1.3091431460740655E-2</v>
      </c>
      <c r="J438" s="28"/>
      <c r="K438" s="8">
        <v>42025</v>
      </c>
      <c r="L438" s="5">
        <v>19981.41</v>
      </c>
      <c r="M438" s="6">
        <v>19724.05</v>
      </c>
      <c r="N438" s="6">
        <v>19981.41</v>
      </c>
      <c r="O438" s="6">
        <v>19449.93</v>
      </c>
      <c r="P438" s="37">
        <v>1230000</v>
      </c>
    </row>
    <row r="439" spans="2:16" ht="15" thickBot="1">
      <c r="B439" s="9">
        <f t="shared" si="41"/>
        <v>13</v>
      </c>
      <c r="C439" s="15">
        <f t="shared" si="36"/>
        <v>2</v>
      </c>
      <c r="D439" s="25">
        <f t="shared" si="37"/>
        <v>42024</v>
      </c>
      <c r="E439" s="16">
        <f t="shared" si="38"/>
        <v>3.3443648607096588E-3</v>
      </c>
      <c r="F439" s="17">
        <f t="shared" si="39"/>
        <v>9.1440017289057263E-3</v>
      </c>
      <c r="G439" s="18">
        <f t="shared" si="40"/>
        <v>5.7996368681960675E-3</v>
      </c>
      <c r="J439" s="28"/>
      <c r="K439" s="8">
        <v>42024</v>
      </c>
      <c r="L439" s="5">
        <v>19658.66</v>
      </c>
      <c r="M439" s="6">
        <v>19545.68</v>
      </c>
      <c r="N439" s="6">
        <v>19729.23</v>
      </c>
      <c r="O439" s="6">
        <v>19481.78</v>
      </c>
      <c r="P439" s="37">
        <v>1040000</v>
      </c>
    </row>
    <row r="440" spans="2:16" ht="15" thickBot="1">
      <c r="B440" s="9">
        <f t="shared" si="41"/>
        <v>12</v>
      </c>
      <c r="C440" s="15">
        <f t="shared" si="36"/>
        <v>1</v>
      </c>
      <c r="D440" s="25">
        <f t="shared" si="37"/>
        <v>42023</v>
      </c>
      <c r="E440" s="16">
        <f t="shared" si="38"/>
        <v>3.6874420266563845E-5</v>
      </c>
      <c r="F440" s="17">
        <f t="shared" si="39"/>
        <v>1.1736972163448156E-2</v>
      </c>
      <c r="G440" s="18">
        <f t="shared" si="40"/>
        <v>1.1700097743181592E-2</v>
      </c>
      <c r="J440" s="28"/>
      <c r="K440" s="8">
        <v>42023</v>
      </c>
      <c r="L440" s="5">
        <v>19480.53</v>
      </c>
      <c r="M440" s="6">
        <v>19255.25</v>
      </c>
      <c r="N440" s="6">
        <v>19609.080000000002</v>
      </c>
      <c r="O440" s="6">
        <v>19149.349999999999</v>
      </c>
      <c r="P440" s="37">
        <v>1010000</v>
      </c>
    </row>
    <row r="441" spans="2:16" ht="15" thickBot="1">
      <c r="B441" s="9">
        <f t="shared" si="41"/>
        <v>11</v>
      </c>
      <c r="C441" s="15">
        <f t="shared" si="36"/>
        <v>5</v>
      </c>
      <c r="D441" s="25">
        <f t="shared" si="37"/>
        <v>42020</v>
      </c>
      <c r="E441" s="16">
        <f t="shared" si="38"/>
        <v>-4.3036384052235199E-3</v>
      </c>
      <c r="F441" s="17">
        <f t="shared" si="39"/>
        <v>2.1758049554990055E-2</v>
      </c>
      <c r="G441" s="18">
        <f t="shared" si="40"/>
        <v>2.6061687960213575E-2</v>
      </c>
      <c r="J441" s="28"/>
      <c r="K441" s="8">
        <v>42020</v>
      </c>
      <c r="L441" s="5">
        <v>19254.54</v>
      </c>
      <c r="M441" s="6">
        <v>18763.419999999998</v>
      </c>
      <c r="N441" s="6">
        <v>19254.54</v>
      </c>
      <c r="O441" s="6">
        <v>18731.5</v>
      </c>
      <c r="P441" s="37">
        <v>841150</v>
      </c>
    </row>
    <row r="442" spans="2:16" ht="15" thickBot="1">
      <c r="B442" s="9">
        <f t="shared" si="41"/>
        <v>10</v>
      </c>
      <c r="C442" s="15">
        <f t="shared" si="36"/>
        <v>4</v>
      </c>
      <c r="D442" s="25">
        <f t="shared" si="37"/>
        <v>42019</v>
      </c>
      <c r="E442" s="16">
        <f t="shared" si="38"/>
        <v>1.2832225642942063E-2</v>
      </c>
      <c r="F442" s="17">
        <f t="shared" si="39"/>
        <v>2.3564583165858188E-2</v>
      </c>
      <c r="G442" s="18">
        <f t="shared" si="40"/>
        <v>1.0732357522916125E-2</v>
      </c>
      <c r="J442" s="28"/>
      <c r="K442" s="8">
        <v>42019</v>
      </c>
      <c r="L442" s="5">
        <v>18844.52</v>
      </c>
      <c r="M442" s="6">
        <v>18646.93</v>
      </c>
      <c r="N442" s="6">
        <v>18970.97</v>
      </c>
      <c r="O442" s="6">
        <v>18066.310000000001</v>
      </c>
      <c r="P442" s="37">
        <v>989430</v>
      </c>
    </row>
    <row r="443" spans="2:16" ht="15" thickBot="1">
      <c r="B443" s="9">
        <f t="shared" si="41"/>
        <v>9</v>
      </c>
      <c r="C443" s="15">
        <f t="shared" si="36"/>
        <v>3</v>
      </c>
      <c r="D443" s="25">
        <f t="shared" si="37"/>
        <v>42018</v>
      </c>
      <c r="E443" s="16">
        <f t="shared" si="38"/>
        <v>-1.3767222390591027E-2</v>
      </c>
      <c r="F443" s="17">
        <f t="shared" si="39"/>
        <v>-1.5941585114701895E-2</v>
      </c>
      <c r="G443" s="18">
        <f t="shared" si="40"/>
        <v>-2.1743627241108676E-3</v>
      </c>
      <c r="J443" s="28"/>
      <c r="K443" s="8">
        <v>42018</v>
      </c>
      <c r="L443" s="7">
        <v>18410.68</v>
      </c>
      <c r="M443" s="6">
        <v>18451.36</v>
      </c>
      <c r="N443" s="6">
        <v>18849.02</v>
      </c>
      <c r="O443" s="6">
        <v>18400.66</v>
      </c>
      <c r="P443" s="37">
        <v>817260</v>
      </c>
    </row>
    <row r="444" spans="2:16" ht="15" thickBot="1">
      <c r="B444" s="9">
        <f t="shared" si="41"/>
        <v>8</v>
      </c>
      <c r="C444" s="15">
        <f t="shared" ref="C444:C507" si="42">WEEKDAY(D444,2)</f>
        <v>2</v>
      </c>
      <c r="D444" s="25">
        <f t="shared" ref="D444:D507" si="43">K444</f>
        <v>42017</v>
      </c>
      <c r="E444" s="16">
        <f t="shared" ref="E444:E507" si="44">M444/L445-1</f>
        <v>-5.3332170700005621E-3</v>
      </c>
      <c r="F444" s="17">
        <f t="shared" ref="F444:F507" si="45">L444/L445-1</f>
        <v>1.9607447756435414E-2</v>
      </c>
      <c r="G444" s="18">
        <f t="shared" ref="G444:G507" si="46">F444-E444</f>
        <v>2.4940664826435976E-2</v>
      </c>
      <c r="J444" s="28"/>
      <c r="K444" s="8">
        <v>42017</v>
      </c>
      <c r="L444" s="5">
        <v>18708.93</v>
      </c>
      <c r="M444" s="6">
        <v>18251.29</v>
      </c>
      <c r="N444" s="6">
        <v>18790.39</v>
      </c>
      <c r="O444" s="6">
        <v>18229.34</v>
      </c>
      <c r="P444" s="37">
        <v>721970</v>
      </c>
    </row>
    <row r="445" spans="2:16" ht="15" thickBot="1">
      <c r="B445" s="9">
        <f t="shared" si="41"/>
        <v>7</v>
      </c>
      <c r="C445" s="15">
        <f t="shared" si="42"/>
        <v>1</v>
      </c>
      <c r="D445" s="25">
        <f t="shared" si="43"/>
        <v>42016</v>
      </c>
      <c r="E445" s="16">
        <f t="shared" si="44"/>
        <v>7.3213039050803452E-3</v>
      </c>
      <c r="F445" s="17">
        <f t="shared" si="45"/>
        <v>9.4657615712967491E-3</v>
      </c>
      <c r="G445" s="18">
        <f t="shared" si="46"/>
        <v>2.1444576662164039E-3</v>
      </c>
      <c r="J445" s="28"/>
      <c r="K445" s="8">
        <v>42016</v>
      </c>
      <c r="L445" s="5">
        <v>18349.150000000001</v>
      </c>
      <c r="M445" s="6">
        <v>18310.169999999998</v>
      </c>
      <c r="N445" s="6">
        <v>18429.68</v>
      </c>
      <c r="O445" s="6">
        <v>18031.759999999998</v>
      </c>
      <c r="P445" s="37">
        <v>619600</v>
      </c>
    </row>
    <row r="446" spans="2:16" ht="15" thickBot="1">
      <c r="B446" s="9">
        <f t="shared" si="41"/>
        <v>6</v>
      </c>
      <c r="C446" s="15">
        <f t="shared" si="42"/>
        <v>5</v>
      </c>
      <c r="D446" s="25">
        <f t="shared" si="43"/>
        <v>42013</v>
      </c>
      <c r="E446" s="16">
        <f t="shared" si="44"/>
        <v>-5.7072674667661971E-3</v>
      </c>
      <c r="F446" s="17">
        <f t="shared" si="45"/>
        <v>-3.2713152471047335E-2</v>
      </c>
      <c r="G446" s="18">
        <f t="shared" si="46"/>
        <v>-2.7005885004281138E-2</v>
      </c>
      <c r="J446" s="28"/>
      <c r="K446" s="8">
        <v>42013</v>
      </c>
      <c r="L446" s="7">
        <v>18177.09</v>
      </c>
      <c r="M446" s="6">
        <v>18684.580000000002</v>
      </c>
      <c r="N446" s="6">
        <v>18849.2</v>
      </c>
      <c r="O446" s="6">
        <v>18052.810000000001</v>
      </c>
      <c r="P446" s="37">
        <v>915120</v>
      </c>
    </row>
    <row r="447" spans="2:16" ht="15" thickBot="1">
      <c r="B447" s="9">
        <f t="shared" si="41"/>
        <v>5</v>
      </c>
      <c r="C447" s="15">
        <f t="shared" si="42"/>
        <v>4</v>
      </c>
      <c r="D447" s="25">
        <f t="shared" si="43"/>
        <v>42012</v>
      </c>
      <c r="E447" s="16">
        <f t="shared" si="44"/>
        <v>1.4872996035522945E-2</v>
      </c>
      <c r="F447" s="17">
        <f t="shared" si="45"/>
        <v>3.6879291746328757E-2</v>
      </c>
      <c r="G447" s="18">
        <f t="shared" si="46"/>
        <v>2.2006295710805812E-2</v>
      </c>
      <c r="J447" s="28"/>
      <c r="K447" s="8">
        <v>42012</v>
      </c>
      <c r="L447" s="5">
        <v>18791.830000000002</v>
      </c>
      <c r="M447" s="6">
        <v>18393</v>
      </c>
      <c r="N447" s="6">
        <v>18857.66</v>
      </c>
      <c r="O447" s="6">
        <v>18247.95</v>
      </c>
      <c r="P447" s="37">
        <v>940260</v>
      </c>
    </row>
    <row r="448" spans="2:16" ht="15" thickBot="1">
      <c r="B448" s="9">
        <f t="shared" si="41"/>
        <v>4</v>
      </c>
      <c r="C448" s="15">
        <f t="shared" si="42"/>
        <v>3</v>
      </c>
      <c r="D448" s="25">
        <f t="shared" si="43"/>
        <v>42011</v>
      </c>
      <c r="E448" s="16">
        <f t="shared" si="44"/>
        <v>4.5840714403035943E-3</v>
      </c>
      <c r="F448" s="17">
        <f t="shared" si="45"/>
        <v>-1.0918655192064808E-3</v>
      </c>
      <c r="G448" s="18">
        <f t="shared" si="46"/>
        <v>-5.675936959510075E-3</v>
      </c>
      <c r="J448" s="28"/>
      <c r="K448" s="8">
        <v>42011</v>
      </c>
      <c r="L448" s="7">
        <v>18123.45</v>
      </c>
      <c r="M448" s="6">
        <v>18226.43</v>
      </c>
      <c r="N448" s="6">
        <v>18478.11</v>
      </c>
      <c r="O448" s="6">
        <v>17991.759999999998</v>
      </c>
      <c r="P448" s="37">
        <v>752620</v>
      </c>
    </row>
    <row r="449" spans="2:16" ht="15" thickBot="1">
      <c r="B449" s="9">
        <f t="shared" si="41"/>
        <v>3</v>
      </c>
      <c r="C449" s="15">
        <f t="shared" si="42"/>
        <v>2</v>
      </c>
      <c r="D449" s="25">
        <f t="shared" si="43"/>
        <v>42010</v>
      </c>
      <c r="E449" s="16">
        <f t="shared" si="44"/>
        <v>6.0379009964570685E-3</v>
      </c>
      <c r="F449" s="17">
        <f t="shared" si="45"/>
        <v>-2.4839953289012007E-3</v>
      </c>
      <c r="G449" s="18">
        <f t="shared" si="46"/>
        <v>-8.5218963253582691E-3</v>
      </c>
      <c r="J449" s="28"/>
      <c r="K449" s="8">
        <v>42010</v>
      </c>
      <c r="L449" s="7">
        <v>18143.259999999998</v>
      </c>
      <c r="M449" s="6">
        <v>18298.259999999998</v>
      </c>
      <c r="N449" s="6">
        <v>18523.740000000002</v>
      </c>
      <c r="O449" s="6">
        <v>18041.32</v>
      </c>
      <c r="P449" s="37">
        <v>703940</v>
      </c>
    </row>
    <row r="450" spans="2:16" ht="15" thickBot="1">
      <c r="B450" s="9">
        <f t="shared" si="41"/>
        <v>2</v>
      </c>
      <c r="C450" s="15">
        <f t="shared" si="42"/>
        <v>1</v>
      </c>
      <c r="D450" s="25">
        <f t="shared" si="43"/>
        <v>42009</v>
      </c>
      <c r="E450" s="16">
        <f t="shared" si="44"/>
        <v>-8.8461944584129482E-3</v>
      </c>
      <c r="F450" s="17">
        <f t="shared" si="45"/>
        <v>-4.9231949800995878E-2</v>
      </c>
      <c r="G450" s="18">
        <f t="shared" si="46"/>
        <v>-4.038575534258293E-2</v>
      </c>
      <c r="J450" s="28"/>
      <c r="K450" s="8">
        <v>42009</v>
      </c>
      <c r="L450" s="7">
        <v>18188.439999999999</v>
      </c>
      <c r="M450" s="6">
        <v>18961.03</v>
      </c>
      <c r="N450" s="6">
        <v>19190.240000000002</v>
      </c>
      <c r="O450" s="6">
        <v>18188.439999999999</v>
      </c>
      <c r="P450" s="37">
        <v>836170</v>
      </c>
    </row>
    <row r="451" spans="2:16" ht="15" thickBot="1">
      <c r="B451" s="19">
        <v>1</v>
      </c>
      <c r="C451" s="15">
        <f t="shared" si="42"/>
        <v>5</v>
      </c>
      <c r="D451" s="25">
        <f t="shared" si="43"/>
        <v>42006</v>
      </c>
      <c r="E451" s="16">
        <f t="shared" si="44"/>
        <v>7.6141544585619503E-3</v>
      </c>
      <c r="F451" s="17">
        <f t="shared" si="45"/>
        <v>6.2223989530800772E-3</v>
      </c>
      <c r="G451" s="18">
        <f t="shared" si="46"/>
        <v>-1.3917555054818731E-3</v>
      </c>
      <c r="J451" s="28"/>
      <c r="K451" s="8">
        <v>42006</v>
      </c>
      <c r="L451" s="5">
        <v>19130.259999999998</v>
      </c>
      <c r="M451" s="6">
        <v>19156.72</v>
      </c>
      <c r="N451" s="6">
        <v>19246.759999999998</v>
      </c>
      <c r="O451" s="6">
        <v>18919.650000000001</v>
      </c>
      <c r="P451" s="37">
        <v>513820</v>
      </c>
    </row>
    <row r="452" spans="2:16" ht="15" thickBot="1">
      <c r="B452" s="9">
        <f t="shared" si="41"/>
        <v>19</v>
      </c>
      <c r="C452" s="15">
        <f t="shared" si="42"/>
        <v>2</v>
      </c>
      <c r="D452" s="25">
        <f t="shared" si="43"/>
        <v>42003</v>
      </c>
      <c r="E452" s="16">
        <f t="shared" si="44"/>
        <v>-6.7130091866083319E-3</v>
      </c>
      <c r="F452" s="17">
        <f t="shared" si="45"/>
        <v>-6.1714519901182596E-3</v>
      </c>
      <c r="G452" s="18">
        <f t="shared" si="46"/>
        <v>5.4155719649007228E-4</v>
      </c>
      <c r="J452" s="28"/>
      <c r="K452" s="8">
        <v>42003</v>
      </c>
      <c r="L452" s="7">
        <v>19011.96</v>
      </c>
      <c r="M452" s="6">
        <v>19001.599999999999</v>
      </c>
      <c r="N452" s="6">
        <v>19183.36</v>
      </c>
      <c r="O452" s="6">
        <v>18993.91</v>
      </c>
      <c r="P452" s="37">
        <v>358440</v>
      </c>
    </row>
    <row r="453" spans="2:16" ht="15" thickBot="1">
      <c r="B453" s="9">
        <f t="shared" si="41"/>
        <v>18</v>
      </c>
      <c r="C453" s="15">
        <f t="shared" si="42"/>
        <v>1</v>
      </c>
      <c r="D453" s="25">
        <f t="shared" si="43"/>
        <v>42002</v>
      </c>
      <c r="E453" s="16">
        <f t="shared" si="44"/>
        <v>-1.334736796414715E-3</v>
      </c>
      <c r="F453" s="17">
        <f t="shared" si="45"/>
        <v>-1.1477289580010042E-2</v>
      </c>
      <c r="G453" s="18">
        <f t="shared" si="46"/>
        <v>-1.0142552783595327E-2</v>
      </c>
      <c r="J453" s="28"/>
      <c r="K453" s="8">
        <v>42002</v>
      </c>
      <c r="L453" s="7">
        <v>19130.02</v>
      </c>
      <c r="M453" s="6">
        <v>19326.3</v>
      </c>
      <c r="N453" s="6">
        <v>19351.63</v>
      </c>
      <c r="O453" s="6">
        <v>18766.419999999998</v>
      </c>
      <c r="P453" s="37">
        <v>538400</v>
      </c>
    </row>
    <row r="454" spans="2:16" ht="15" thickBot="1">
      <c r="B454" s="9">
        <f t="shared" ref="B454:B517" si="47">B455+1</f>
        <v>17</v>
      </c>
      <c r="C454" s="15">
        <f t="shared" si="42"/>
        <v>2</v>
      </c>
      <c r="D454" s="25">
        <f t="shared" si="43"/>
        <v>41996</v>
      </c>
      <c r="E454" s="16">
        <f t="shared" si="44"/>
        <v>7.4027316708979995E-4</v>
      </c>
      <c r="F454" s="17">
        <f t="shared" si="45"/>
        <v>1.4579501773090531E-2</v>
      </c>
      <c r="G454" s="18">
        <f t="shared" si="46"/>
        <v>1.3839228606000731E-2</v>
      </c>
      <c r="J454" s="28"/>
      <c r="K454" s="8">
        <v>41996</v>
      </c>
      <c r="L454" s="5">
        <v>19352.13</v>
      </c>
      <c r="M454" s="6">
        <v>19088.16</v>
      </c>
      <c r="N454" s="6">
        <v>19352.13</v>
      </c>
      <c r="O454" s="6">
        <v>19011.240000000002</v>
      </c>
      <c r="P454" s="37">
        <v>492280</v>
      </c>
    </row>
    <row r="455" spans="2:16" ht="15" thickBot="1">
      <c r="B455" s="9">
        <f t="shared" si="47"/>
        <v>16</v>
      </c>
      <c r="C455" s="15">
        <f t="shared" si="42"/>
        <v>1</v>
      </c>
      <c r="D455" s="25">
        <f t="shared" si="43"/>
        <v>41995</v>
      </c>
      <c r="E455" s="16">
        <f t="shared" si="44"/>
        <v>5.3819487426929324E-3</v>
      </c>
      <c r="F455" s="17">
        <f t="shared" si="45"/>
        <v>4.7519388869368129E-3</v>
      </c>
      <c r="G455" s="18">
        <f t="shared" si="46"/>
        <v>-6.3000985575611956E-4</v>
      </c>
      <c r="J455" s="28"/>
      <c r="K455" s="8">
        <v>41995</v>
      </c>
      <c r="L455" s="5">
        <v>19074.04</v>
      </c>
      <c r="M455" s="6">
        <v>19086</v>
      </c>
      <c r="N455" s="6">
        <v>19243.29</v>
      </c>
      <c r="O455" s="6">
        <v>18965.02</v>
      </c>
      <c r="P455" s="37">
        <v>525590</v>
      </c>
    </row>
    <row r="456" spans="2:16" ht="15" thickBot="1">
      <c r="B456" s="9">
        <f t="shared" si="47"/>
        <v>15</v>
      </c>
      <c r="C456" s="15">
        <f t="shared" si="42"/>
        <v>5</v>
      </c>
      <c r="D456" s="25">
        <f t="shared" si="43"/>
        <v>41992</v>
      </c>
      <c r="E456" s="16">
        <f t="shared" si="44"/>
        <v>5.7457666154798748E-3</v>
      </c>
      <c r="F456" s="17">
        <f t="shared" si="45"/>
        <v>-4.048058364229723E-3</v>
      </c>
      <c r="G456" s="18">
        <f t="shared" si="46"/>
        <v>-9.7938249797095978E-3</v>
      </c>
      <c r="J456" s="28"/>
      <c r="K456" s="8">
        <v>41992</v>
      </c>
      <c r="L456" s="7">
        <v>18983.830000000002</v>
      </c>
      <c r="M456" s="6">
        <v>19170.509999999998</v>
      </c>
      <c r="N456" s="6">
        <v>19175.3</v>
      </c>
      <c r="O456" s="6">
        <v>18695.78</v>
      </c>
      <c r="P456" s="37">
        <v>1030000</v>
      </c>
    </row>
    <row r="457" spans="2:16" ht="15" thickBot="1">
      <c r="B457" s="9">
        <f t="shared" si="47"/>
        <v>14</v>
      </c>
      <c r="C457" s="15">
        <f t="shared" si="42"/>
        <v>4</v>
      </c>
      <c r="D457" s="25">
        <f t="shared" si="43"/>
        <v>41991</v>
      </c>
      <c r="E457" s="16">
        <f t="shared" si="44"/>
        <v>1.8470000856264601E-2</v>
      </c>
      <c r="F457" s="17">
        <f t="shared" si="45"/>
        <v>2.6493575593340202E-2</v>
      </c>
      <c r="G457" s="18">
        <f t="shared" si="46"/>
        <v>8.0235747370756005E-3</v>
      </c>
      <c r="J457" s="28"/>
      <c r="K457" s="8">
        <v>41991</v>
      </c>
      <c r="L457" s="5">
        <v>19060.990000000002</v>
      </c>
      <c r="M457" s="6">
        <v>18912</v>
      </c>
      <c r="N457" s="6">
        <v>19060.990000000002</v>
      </c>
      <c r="O457" s="6">
        <v>18768.169999999998</v>
      </c>
      <c r="P457" s="37">
        <v>855460</v>
      </c>
    </row>
    <row r="458" spans="2:16" ht="15" thickBot="1">
      <c r="B458" s="9">
        <f t="shared" si="47"/>
        <v>13</v>
      </c>
      <c r="C458" s="15">
        <f t="shared" si="42"/>
        <v>3</v>
      </c>
      <c r="D458" s="25">
        <f t="shared" si="43"/>
        <v>41990</v>
      </c>
      <c r="E458" s="16">
        <f t="shared" si="44"/>
        <v>-1.2508268590603611E-2</v>
      </c>
      <c r="F458" s="17">
        <f t="shared" si="45"/>
        <v>-5.4108050058784274E-3</v>
      </c>
      <c r="G458" s="18">
        <f t="shared" si="46"/>
        <v>7.0974635847251832E-3</v>
      </c>
      <c r="J458" s="28"/>
      <c r="K458" s="8">
        <v>41990</v>
      </c>
      <c r="L458" s="7">
        <v>18569.03</v>
      </c>
      <c r="M458" s="6">
        <v>18436.52</v>
      </c>
      <c r="N458" s="6">
        <v>18645.439999999999</v>
      </c>
      <c r="O458" s="6">
        <v>18256.68</v>
      </c>
      <c r="P458" s="37">
        <v>777170</v>
      </c>
    </row>
    <row r="459" spans="2:16" ht="15" thickBot="1">
      <c r="B459" s="9">
        <f t="shared" si="47"/>
        <v>12</v>
      </c>
      <c r="C459" s="15">
        <f t="shared" si="42"/>
        <v>2</v>
      </c>
      <c r="D459" s="25">
        <f t="shared" si="43"/>
        <v>41989</v>
      </c>
      <c r="E459" s="16">
        <f t="shared" si="44"/>
        <v>5.7010991223505059E-3</v>
      </c>
      <c r="F459" s="17">
        <f t="shared" si="45"/>
        <v>3.2694340440854619E-2</v>
      </c>
      <c r="G459" s="18">
        <f t="shared" si="46"/>
        <v>2.6993241318504113E-2</v>
      </c>
      <c r="J459" s="28"/>
      <c r="K459" s="8">
        <v>41989</v>
      </c>
      <c r="L459" s="5">
        <v>18670.05</v>
      </c>
      <c r="M459" s="6">
        <v>18182.04</v>
      </c>
      <c r="N459" s="6">
        <v>18670.05</v>
      </c>
      <c r="O459" s="6">
        <v>17729.07</v>
      </c>
      <c r="P459" s="37">
        <v>1380000</v>
      </c>
    </row>
    <row r="460" spans="2:16" ht="15" thickBot="1">
      <c r="B460" s="9">
        <f t="shared" si="47"/>
        <v>11</v>
      </c>
      <c r="C460" s="15">
        <f t="shared" si="42"/>
        <v>1</v>
      </c>
      <c r="D460" s="25">
        <f t="shared" si="43"/>
        <v>41988</v>
      </c>
      <c r="E460" s="16">
        <f t="shared" si="44"/>
        <v>3.1724390793312907E-3</v>
      </c>
      <c r="F460" s="17">
        <f t="shared" si="45"/>
        <v>-2.8055737297744243E-2</v>
      </c>
      <c r="G460" s="18">
        <f t="shared" si="46"/>
        <v>-3.1228176377075534E-2</v>
      </c>
      <c r="J460" s="28"/>
      <c r="K460" s="8">
        <v>41988</v>
      </c>
      <c r="L460" s="7">
        <v>18078.97</v>
      </c>
      <c r="M460" s="6">
        <v>18659.84</v>
      </c>
      <c r="N460" s="6">
        <v>18804.439999999999</v>
      </c>
      <c r="O460" s="6">
        <v>18075.23</v>
      </c>
      <c r="P460" s="37">
        <v>883300</v>
      </c>
    </row>
    <row r="461" spans="2:16" ht="15" thickBot="1">
      <c r="B461" s="9">
        <f t="shared" si="47"/>
        <v>10</v>
      </c>
      <c r="C461" s="15">
        <f t="shared" si="42"/>
        <v>5</v>
      </c>
      <c r="D461" s="25">
        <f t="shared" si="43"/>
        <v>41985</v>
      </c>
      <c r="E461" s="16">
        <f t="shared" si="44"/>
        <v>-9.4807216472831968E-3</v>
      </c>
      <c r="F461" s="17">
        <f t="shared" si="45"/>
        <v>-3.1260757864014721E-2</v>
      </c>
      <c r="G461" s="18">
        <f t="shared" si="46"/>
        <v>-2.1780036216731524E-2</v>
      </c>
      <c r="J461" s="28"/>
      <c r="K461" s="8">
        <v>41985</v>
      </c>
      <c r="L461" s="7">
        <v>18600.830000000002</v>
      </c>
      <c r="M461" s="6">
        <v>19019.03</v>
      </c>
      <c r="N461" s="6">
        <v>19133.52</v>
      </c>
      <c r="O461" s="6">
        <v>18600.830000000002</v>
      </c>
      <c r="P461" s="37">
        <v>738690</v>
      </c>
    </row>
    <row r="462" spans="2:16" ht="15" thickBot="1">
      <c r="B462" s="9">
        <f t="shared" si="47"/>
        <v>9</v>
      </c>
      <c r="C462" s="15">
        <f t="shared" si="42"/>
        <v>4</v>
      </c>
      <c r="D462" s="25">
        <f t="shared" si="43"/>
        <v>41984</v>
      </c>
      <c r="E462" s="16">
        <f t="shared" si="44"/>
        <v>-2.1537448049167018E-3</v>
      </c>
      <c r="F462" s="17">
        <f t="shared" si="45"/>
        <v>-8.6482818694644248E-4</v>
      </c>
      <c r="G462" s="18">
        <f t="shared" si="46"/>
        <v>1.2889166179702594E-3</v>
      </c>
      <c r="J462" s="28"/>
      <c r="K462" s="8">
        <v>41984</v>
      </c>
      <c r="L462" s="7">
        <v>19201.07</v>
      </c>
      <c r="M462" s="6">
        <v>19176.3</v>
      </c>
      <c r="N462" s="6">
        <v>19385.04</v>
      </c>
      <c r="O462" s="6">
        <v>19052.22</v>
      </c>
      <c r="P462" s="37">
        <v>831550</v>
      </c>
    </row>
    <row r="463" spans="2:16" ht="15" thickBot="1">
      <c r="B463" s="9">
        <f t="shared" si="47"/>
        <v>8</v>
      </c>
      <c r="C463" s="15">
        <f t="shared" si="42"/>
        <v>3</v>
      </c>
      <c r="D463" s="25">
        <f t="shared" si="43"/>
        <v>41983</v>
      </c>
      <c r="E463" s="16">
        <f t="shared" si="44"/>
        <v>3.8530170190820279E-3</v>
      </c>
      <c r="F463" s="17">
        <f t="shared" si="45"/>
        <v>-8.8865394533265141E-3</v>
      </c>
      <c r="G463" s="18">
        <f t="shared" si="46"/>
        <v>-1.2739556472408542E-2</v>
      </c>
      <c r="J463" s="28"/>
      <c r="K463" s="8">
        <v>41983</v>
      </c>
      <c r="L463" s="7">
        <v>19217.689999999999</v>
      </c>
      <c r="M463" s="6">
        <v>19464.71</v>
      </c>
      <c r="N463" s="6">
        <v>19599.39</v>
      </c>
      <c r="O463" s="6">
        <v>19144.169999999998</v>
      </c>
      <c r="P463" s="37">
        <v>797090</v>
      </c>
    </row>
    <row r="464" spans="2:16" ht="15" thickBot="1">
      <c r="B464" s="9">
        <f t="shared" si="47"/>
        <v>7</v>
      </c>
      <c r="C464" s="15">
        <f t="shared" si="42"/>
        <v>2</v>
      </c>
      <c r="D464" s="25">
        <f t="shared" si="43"/>
        <v>41982</v>
      </c>
      <c r="E464" s="16">
        <f t="shared" si="44"/>
        <v>-1.2461437060019231E-2</v>
      </c>
      <c r="F464" s="17">
        <f t="shared" si="45"/>
        <v>-2.8126198239199263E-2</v>
      </c>
      <c r="G464" s="18">
        <f t="shared" si="46"/>
        <v>-1.5664761179180031E-2</v>
      </c>
      <c r="J464" s="28"/>
      <c r="K464" s="8">
        <v>41982</v>
      </c>
      <c r="L464" s="7">
        <v>19390</v>
      </c>
      <c r="M464" s="6">
        <v>19702.53</v>
      </c>
      <c r="N464" s="6">
        <v>19839.25</v>
      </c>
      <c r="O464" s="6">
        <v>19370.47</v>
      </c>
      <c r="P464" s="37">
        <v>890560</v>
      </c>
    </row>
    <row r="465" spans="2:16" ht="15" thickBot="1">
      <c r="B465" s="9">
        <f t="shared" si="47"/>
        <v>6</v>
      </c>
      <c r="C465" s="15">
        <f t="shared" si="42"/>
        <v>1</v>
      </c>
      <c r="D465" s="25">
        <f t="shared" si="43"/>
        <v>41981</v>
      </c>
      <c r="E465" s="16">
        <f t="shared" si="44"/>
        <v>-7.3479519077542799E-3</v>
      </c>
      <c r="F465" s="17">
        <f t="shared" si="45"/>
        <v>-6.774453222270993E-3</v>
      </c>
      <c r="G465" s="18">
        <f t="shared" si="46"/>
        <v>5.7349868548328686E-4</v>
      </c>
      <c r="J465" s="28"/>
      <c r="K465" s="8">
        <v>41981</v>
      </c>
      <c r="L465" s="7">
        <v>19951.150000000001</v>
      </c>
      <c r="M465" s="6">
        <v>19939.63</v>
      </c>
      <c r="N465" s="6">
        <v>20142.18</v>
      </c>
      <c r="O465" s="6">
        <v>19929.52</v>
      </c>
      <c r="P465" s="37">
        <v>545960</v>
      </c>
    </row>
    <row r="466" spans="2:16" ht="15" thickBot="1">
      <c r="B466" s="9">
        <f t="shared" si="47"/>
        <v>5</v>
      </c>
      <c r="C466" s="15">
        <f t="shared" si="42"/>
        <v>5</v>
      </c>
      <c r="D466" s="25">
        <f t="shared" si="43"/>
        <v>41978</v>
      </c>
      <c r="E466" s="16">
        <f t="shared" si="44"/>
        <v>1.0345246540687469E-2</v>
      </c>
      <c r="F466" s="17">
        <f t="shared" si="45"/>
        <v>3.4124641301292336E-2</v>
      </c>
      <c r="G466" s="18">
        <f t="shared" si="46"/>
        <v>2.3779394760604866E-2</v>
      </c>
      <c r="J466" s="28"/>
      <c r="K466" s="8">
        <v>41978</v>
      </c>
      <c r="L466" s="5">
        <v>20087.23</v>
      </c>
      <c r="M466" s="6">
        <v>19625.330000000002</v>
      </c>
      <c r="N466" s="6">
        <v>20087.23</v>
      </c>
      <c r="O466" s="6">
        <v>19588.419999999998</v>
      </c>
      <c r="P466" s="37">
        <v>973920</v>
      </c>
    </row>
    <row r="467" spans="2:16" ht="15" thickBot="1">
      <c r="B467" s="9">
        <f t="shared" si="47"/>
        <v>4</v>
      </c>
      <c r="C467" s="15">
        <f t="shared" si="42"/>
        <v>4</v>
      </c>
      <c r="D467" s="25">
        <f t="shared" si="43"/>
        <v>41977</v>
      </c>
      <c r="E467" s="16">
        <f t="shared" si="44"/>
        <v>1.9486122957286245E-3</v>
      </c>
      <c r="F467" s="17">
        <f t="shared" si="45"/>
        <v>-2.772705612884363E-2</v>
      </c>
      <c r="G467" s="18">
        <f t="shared" si="46"/>
        <v>-2.9675668424572255E-2</v>
      </c>
      <c r="J467" s="28"/>
      <c r="K467" s="8">
        <v>41977</v>
      </c>
      <c r="L467" s="7">
        <v>19424.38</v>
      </c>
      <c r="M467" s="6">
        <v>20017.25</v>
      </c>
      <c r="N467" s="6">
        <v>20076.580000000002</v>
      </c>
      <c r="O467" s="6">
        <v>19424.38</v>
      </c>
      <c r="P467" s="37">
        <v>982010</v>
      </c>
    </row>
    <row r="468" spans="2:16" ht="15" thickBot="1">
      <c r="B468" s="9">
        <f t="shared" si="47"/>
        <v>3</v>
      </c>
      <c r="C468" s="15">
        <f t="shared" si="42"/>
        <v>3</v>
      </c>
      <c r="D468" s="25">
        <f t="shared" si="43"/>
        <v>41976</v>
      </c>
      <c r="E468" s="16">
        <f t="shared" si="44"/>
        <v>2.6106413462092526E-3</v>
      </c>
      <c r="F468" s="17">
        <f t="shared" si="45"/>
        <v>9.9966735050234234E-3</v>
      </c>
      <c r="G468" s="18">
        <f t="shared" si="46"/>
        <v>7.3860321588141709E-3</v>
      </c>
      <c r="J468" s="28"/>
      <c r="K468" s="8">
        <v>41976</v>
      </c>
      <c r="L468" s="5">
        <v>19978.32</v>
      </c>
      <c r="M468" s="6">
        <v>19832.22</v>
      </c>
      <c r="N468" s="6">
        <v>20063.23</v>
      </c>
      <c r="O468" s="6">
        <v>19750.080000000002</v>
      </c>
      <c r="P468" s="37">
        <v>591520</v>
      </c>
    </row>
    <row r="469" spans="2:16" ht="15" thickBot="1">
      <c r="B469" s="9">
        <f t="shared" si="47"/>
        <v>2</v>
      </c>
      <c r="C469" s="15">
        <f t="shared" si="42"/>
        <v>2</v>
      </c>
      <c r="D469" s="25">
        <f t="shared" si="43"/>
        <v>41975</v>
      </c>
      <c r="E469" s="16">
        <f t="shared" si="44"/>
        <v>5.203071147921623E-3</v>
      </c>
      <c r="F469" s="17">
        <f t="shared" si="45"/>
        <v>4.7814613604788558E-3</v>
      </c>
      <c r="G469" s="18">
        <f t="shared" si="46"/>
        <v>-4.2160978744276711E-4</v>
      </c>
      <c r="J469" s="28"/>
      <c r="K469" s="8">
        <v>41975</v>
      </c>
      <c r="L469" s="5">
        <v>19780.580000000002</v>
      </c>
      <c r="M469" s="6">
        <v>19788.88</v>
      </c>
      <c r="N469" s="6">
        <v>19930.560000000001</v>
      </c>
      <c r="O469" s="6">
        <v>19604.169999999998</v>
      </c>
      <c r="P469" s="37">
        <v>611220</v>
      </c>
    </row>
    <row r="470" spans="2:16" ht="15" thickBot="1">
      <c r="B470" s="19">
        <v>1</v>
      </c>
      <c r="C470" s="15">
        <f t="shared" si="42"/>
        <v>1</v>
      </c>
      <c r="D470" s="25">
        <f t="shared" si="43"/>
        <v>41974</v>
      </c>
      <c r="E470" s="16">
        <f t="shared" si="44"/>
        <v>-7.8012192965012384E-3</v>
      </c>
      <c r="F470" s="17">
        <f t="shared" si="45"/>
        <v>-1.6406342899911164E-2</v>
      </c>
      <c r="G470" s="18">
        <f t="shared" si="46"/>
        <v>-8.6051236034099254E-3</v>
      </c>
      <c r="J470" s="28"/>
      <c r="K470" s="8">
        <v>41974</v>
      </c>
      <c r="L470" s="7">
        <v>19686.45</v>
      </c>
      <c r="M470" s="6">
        <v>19858.68</v>
      </c>
      <c r="N470" s="6">
        <v>19972.96</v>
      </c>
      <c r="O470" s="6">
        <v>19641.150000000001</v>
      </c>
      <c r="P470" s="37">
        <v>695860</v>
      </c>
    </row>
    <row r="471" spans="2:16" ht="15" thickBot="1">
      <c r="B471" s="9">
        <f t="shared" si="47"/>
        <v>20</v>
      </c>
      <c r="C471" s="15">
        <f t="shared" si="42"/>
        <v>5</v>
      </c>
      <c r="D471" s="25">
        <f t="shared" si="43"/>
        <v>41971</v>
      </c>
      <c r="E471" s="16">
        <f t="shared" si="44"/>
        <v>4.1093443804718355E-4</v>
      </c>
      <c r="F471" s="17">
        <f t="shared" si="45"/>
        <v>-4.2640666688887885E-3</v>
      </c>
      <c r="G471" s="18">
        <f t="shared" si="46"/>
        <v>-4.675001106935972E-3</v>
      </c>
      <c r="J471" s="28"/>
      <c r="K471" s="8">
        <v>41971</v>
      </c>
      <c r="L471" s="7">
        <v>20014.82</v>
      </c>
      <c r="M471" s="6">
        <v>20108.79</v>
      </c>
      <c r="N471" s="6">
        <v>20114.560000000001</v>
      </c>
      <c r="O471" s="6">
        <v>19889.169999999998</v>
      </c>
      <c r="P471" s="37">
        <v>624520</v>
      </c>
    </row>
    <row r="472" spans="2:16" ht="15" thickBot="1">
      <c r="B472" s="9">
        <f t="shared" si="47"/>
        <v>19</v>
      </c>
      <c r="C472" s="15">
        <f t="shared" si="42"/>
        <v>4</v>
      </c>
      <c r="D472" s="25">
        <f t="shared" si="43"/>
        <v>41970</v>
      </c>
      <c r="E472" s="16">
        <f t="shared" si="44"/>
        <v>1.9419793544324104E-3</v>
      </c>
      <c r="F472" s="17">
        <f t="shared" si="45"/>
        <v>8.1305339139210453E-3</v>
      </c>
      <c r="G472" s="18">
        <f t="shared" si="46"/>
        <v>6.1885545594886349E-3</v>
      </c>
      <c r="J472" s="28"/>
      <c r="K472" s="8">
        <v>41970</v>
      </c>
      <c r="L472" s="5">
        <v>20100.53</v>
      </c>
      <c r="M472" s="6">
        <v>19977.14</v>
      </c>
      <c r="N472" s="6">
        <v>20112.689999999999</v>
      </c>
      <c r="O472" s="6">
        <v>19905.66</v>
      </c>
      <c r="P472" s="37">
        <v>502490</v>
      </c>
    </row>
    <row r="473" spans="2:16" ht="15" thickBot="1">
      <c r="B473" s="9">
        <f t="shared" si="47"/>
        <v>18</v>
      </c>
      <c r="C473" s="15">
        <f t="shared" si="42"/>
        <v>3</v>
      </c>
      <c r="D473" s="25">
        <f t="shared" si="43"/>
        <v>41969</v>
      </c>
      <c r="E473" s="16">
        <f t="shared" si="44"/>
        <v>4.7116842072121301E-3</v>
      </c>
      <c r="F473" s="17">
        <f t="shared" si="45"/>
        <v>-3.5687459613601424E-3</v>
      </c>
      <c r="G473" s="18">
        <f t="shared" si="46"/>
        <v>-8.2804301685722725E-3</v>
      </c>
      <c r="J473" s="28"/>
      <c r="K473" s="8">
        <v>41969</v>
      </c>
      <c r="L473" s="7">
        <v>19938.419999999998</v>
      </c>
      <c r="M473" s="6">
        <v>20104.11</v>
      </c>
      <c r="N473" s="6">
        <v>20131.82</v>
      </c>
      <c r="O473" s="6">
        <v>19894.57</v>
      </c>
      <c r="P473" s="37">
        <v>556810</v>
      </c>
    </row>
    <row r="474" spans="2:16" ht="15" thickBot="1">
      <c r="B474" s="9">
        <f t="shared" si="47"/>
        <v>17</v>
      </c>
      <c r="C474" s="15">
        <f t="shared" si="42"/>
        <v>2</v>
      </c>
      <c r="D474" s="25">
        <f t="shared" si="43"/>
        <v>41968</v>
      </c>
      <c r="E474" s="16">
        <f t="shared" si="44"/>
        <v>-9.9418744121959612E-4</v>
      </c>
      <c r="F474" s="17">
        <f t="shared" si="45"/>
        <v>4.2161376545608586E-3</v>
      </c>
      <c r="G474" s="18">
        <f t="shared" si="46"/>
        <v>5.2103250957804548E-3</v>
      </c>
      <c r="J474" s="28"/>
      <c r="K474" s="8">
        <v>41968</v>
      </c>
      <c r="L474" s="5">
        <v>20009.830000000002</v>
      </c>
      <c r="M474" s="6">
        <v>19906.009999999998</v>
      </c>
      <c r="N474" s="6">
        <v>20195</v>
      </c>
      <c r="O474" s="6">
        <v>19860.98</v>
      </c>
      <c r="P474" s="37">
        <v>754200</v>
      </c>
    </row>
    <row r="475" spans="2:16" ht="15" thickBot="1">
      <c r="B475" s="9">
        <f t="shared" si="47"/>
        <v>16</v>
      </c>
      <c r="C475" s="15">
        <f t="shared" si="42"/>
        <v>1</v>
      </c>
      <c r="D475" s="25">
        <f t="shared" si="43"/>
        <v>41967</v>
      </c>
      <c r="E475" s="16">
        <f t="shared" si="44"/>
        <v>-1.1541250574430562E-3</v>
      </c>
      <c r="F475" s="17">
        <f t="shared" si="45"/>
        <v>-1.4377702083387955E-3</v>
      </c>
      <c r="G475" s="18">
        <f t="shared" si="46"/>
        <v>-2.8364515089573938E-4</v>
      </c>
      <c r="J475" s="28"/>
      <c r="K475" s="8">
        <v>41967</v>
      </c>
      <c r="L475" s="7">
        <v>19925.82</v>
      </c>
      <c r="M475" s="6">
        <v>19931.48</v>
      </c>
      <c r="N475" s="6">
        <v>20126.97</v>
      </c>
      <c r="O475" s="6">
        <v>19802.349999999999</v>
      </c>
      <c r="P475" s="37">
        <v>815130</v>
      </c>
    </row>
    <row r="476" spans="2:16" ht="15" thickBot="1">
      <c r="B476" s="9">
        <f t="shared" si="47"/>
        <v>15</v>
      </c>
      <c r="C476" s="15">
        <f t="shared" si="42"/>
        <v>5</v>
      </c>
      <c r="D476" s="25">
        <f t="shared" si="43"/>
        <v>41964</v>
      </c>
      <c r="E476" s="16">
        <f t="shared" si="44"/>
        <v>2.5409673063245819E-3</v>
      </c>
      <c r="F476" s="17">
        <f t="shared" si="45"/>
        <v>3.8798556110034577E-2</v>
      </c>
      <c r="G476" s="18">
        <f t="shared" si="46"/>
        <v>3.6257588803709995E-2</v>
      </c>
      <c r="J476" s="28"/>
      <c r="K476" s="8">
        <v>41964</v>
      </c>
      <c r="L476" s="5">
        <v>19954.509999999998</v>
      </c>
      <c r="M476" s="6">
        <v>19258.03</v>
      </c>
      <c r="N476" s="6">
        <v>19954.509999999998</v>
      </c>
      <c r="O476" s="6">
        <v>19233.740000000002</v>
      </c>
      <c r="P476" s="37">
        <v>1010000</v>
      </c>
    </row>
    <row r="477" spans="2:16" ht="15" thickBot="1">
      <c r="B477" s="9">
        <f t="shared" si="47"/>
        <v>14</v>
      </c>
      <c r="C477" s="15">
        <f t="shared" si="42"/>
        <v>4</v>
      </c>
      <c r="D477" s="25">
        <f t="shared" si="43"/>
        <v>41963</v>
      </c>
      <c r="E477" s="16">
        <f t="shared" si="44"/>
        <v>1.1904073907427204E-3</v>
      </c>
      <c r="F477" s="17">
        <f t="shared" si="45"/>
        <v>-8.8080858950912999E-3</v>
      </c>
      <c r="G477" s="18">
        <f t="shared" si="46"/>
        <v>-9.9984932858340203E-3</v>
      </c>
      <c r="J477" s="28"/>
      <c r="K477" s="8">
        <v>41963</v>
      </c>
      <c r="L477" s="7">
        <v>19209.22</v>
      </c>
      <c r="M477" s="6">
        <v>19402.990000000002</v>
      </c>
      <c r="N477" s="6">
        <v>19417.7</v>
      </c>
      <c r="O477" s="6">
        <v>19036.34</v>
      </c>
      <c r="P477" s="37">
        <v>674970</v>
      </c>
    </row>
    <row r="478" spans="2:16" ht="15" thickBot="1">
      <c r="B478" s="9">
        <f t="shared" si="47"/>
        <v>13</v>
      </c>
      <c r="C478" s="15">
        <f t="shared" si="42"/>
        <v>3</v>
      </c>
      <c r="D478" s="25">
        <f t="shared" si="43"/>
        <v>41962</v>
      </c>
      <c r="E478" s="16">
        <f t="shared" si="44"/>
        <v>-9.4249197150830799E-4</v>
      </c>
      <c r="F478" s="17">
        <f t="shared" si="45"/>
        <v>1.3935859907661108E-3</v>
      </c>
      <c r="G478" s="18">
        <f t="shared" si="46"/>
        <v>2.3360779622744188E-3</v>
      </c>
      <c r="J478" s="28"/>
      <c r="K478" s="8">
        <v>41962</v>
      </c>
      <c r="L478" s="5">
        <v>19379.919999999998</v>
      </c>
      <c r="M478" s="6">
        <v>19334.71</v>
      </c>
      <c r="N478" s="6">
        <v>19554.919999999998</v>
      </c>
      <c r="O478" s="6">
        <v>19280.89</v>
      </c>
      <c r="P478" s="37">
        <v>647790</v>
      </c>
    </row>
    <row r="479" spans="2:16" ht="15" thickBot="1">
      <c r="B479" s="9">
        <f t="shared" si="47"/>
        <v>12</v>
      </c>
      <c r="C479" s="15">
        <f t="shared" si="42"/>
        <v>2</v>
      </c>
      <c r="D479" s="25">
        <f t="shared" si="43"/>
        <v>41961</v>
      </c>
      <c r="E479" s="16">
        <f t="shared" si="44"/>
        <v>3.7311219280677932E-4</v>
      </c>
      <c r="F479" s="17">
        <f t="shared" si="45"/>
        <v>7.0880909040762496E-3</v>
      </c>
      <c r="G479" s="18">
        <f t="shared" si="46"/>
        <v>6.7149787112694703E-3</v>
      </c>
      <c r="J479" s="28"/>
      <c r="K479" s="8">
        <v>41961</v>
      </c>
      <c r="L479" s="5">
        <v>19352.95</v>
      </c>
      <c r="M479" s="6">
        <v>19223.91</v>
      </c>
      <c r="N479" s="6">
        <v>19437.38</v>
      </c>
      <c r="O479" s="6">
        <v>19214.89</v>
      </c>
      <c r="P479" s="37">
        <v>682460</v>
      </c>
    </row>
    <row r="480" spans="2:16" ht="15" thickBot="1">
      <c r="B480" s="9">
        <f t="shared" si="47"/>
        <v>11</v>
      </c>
      <c r="C480" s="15">
        <f t="shared" si="42"/>
        <v>1</v>
      </c>
      <c r="D480" s="25">
        <f t="shared" si="43"/>
        <v>41960</v>
      </c>
      <c r="E480" s="16">
        <f t="shared" si="44"/>
        <v>-9.9444198675376905E-3</v>
      </c>
      <c r="F480" s="17">
        <f t="shared" si="45"/>
        <v>1.3252020388697217E-2</v>
      </c>
      <c r="G480" s="18">
        <f t="shared" si="46"/>
        <v>2.3196440256234907E-2</v>
      </c>
      <c r="J480" s="28"/>
      <c r="K480" s="8">
        <v>41960</v>
      </c>
      <c r="L480" s="5">
        <v>19216.740000000002</v>
      </c>
      <c r="M480" s="6">
        <v>18776.810000000001</v>
      </c>
      <c r="N480" s="6">
        <v>19291.849999999999</v>
      </c>
      <c r="O480" s="6">
        <v>18733.43</v>
      </c>
      <c r="P480" s="37">
        <v>769480</v>
      </c>
    </row>
    <row r="481" spans="2:16" ht="15" thickBot="1">
      <c r="B481" s="9">
        <f t="shared" si="47"/>
        <v>10</v>
      </c>
      <c r="C481" s="15">
        <f t="shared" si="42"/>
        <v>5</v>
      </c>
      <c r="D481" s="25">
        <f t="shared" si="43"/>
        <v>41957</v>
      </c>
      <c r="E481" s="16">
        <f t="shared" si="44"/>
        <v>2.0838491046211161E-3</v>
      </c>
      <c r="F481" s="17">
        <f t="shared" si="45"/>
        <v>9.7356322757027325E-3</v>
      </c>
      <c r="G481" s="18">
        <f t="shared" si="46"/>
        <v>7.6517831710816164E-3</v>
      </c>
      <c r="J481" s="28"/>
      <c r="K481" s="8">
        <v>41957</v>
      </c>
      <c r="L481" s="5">
        <v>18965.41</v>
      </c>
      <c r="M481" s="6">
        <v>18821.689999999999</v>
      </c>
      <c r="N481" s="6">
        <v>19009.02</v>
      </c>
      <c r="O481" s="6">
        <v>18662.689999999999</v>
      </c>
      <c r="P481" s="37">
        <v>756120</v>
      </c>
    </row>
    <row r="482" spans="2:16" ht="15" thickBot="1">
      <c r="B482" s="9">
        <f t="shared" si="47"/>
        <v>9</v>
      </c>
      <c r="C482" s="15">
        <f t="shared" si="42"/>
        <v>4</v>
      </c>
      <c r="D482" s="25">
        <f t="shared" si="43"/>
        <v>41956</v>
      </c>
      <c r="E482" s="16">
        <f t="shared" si="44"/>
        <v>5.7185663321610569E-3</v>
      </c>
      <c r="F482" s="17">
        <f t="shared" si="45"/>
        <v>4.2941380283858521E-3</v>
      </c>
      <c r="G482" s="18">
        <f t="shared" si="46"/>
        <v>-1.4244283037752048E-3</v>
      </c>
      <c r="J482" s="28"/>
      <c r="K482" s="8">
        <v>41956</v>
      </c>
      <c r="L482" s="5">
        <v>18782.55</v>
      </c>
      <c r="M482" s="6">
        <v>18809.189999999999</v>
      </c>
      <c r="N482" s="6">
        <v>18889.36</v>
      </c>
      <c r="O482" s="6">
        <v>18444.580000000002</v>
      </c>
      <c r="P482" s="37">
        <v>863420</v>
      </c>
    </row>
    <row r="483" spans="2:16" ht="15" thickBot="1">
      <c r="B483" s="9">
        <f t="shared" si="47"/>
        <v>8</v>
      </c>
      <c r="C483" s="15">
        <f t="shared" si="42"/>
        <v>3</v>
      </c>
      <c r="D483" s="25">
        <f t="shared" si="43"/>
        <v>41955</v>
      </c>
      <c r="E483" s="16">
        <f t="shared" si="44"/>
        <v>-4.6817865261145064E-3</v>
      </c>
      <c r="F483" s="17">
        <f t="shared" si="45"/>
        <v>-2.8731056681555955E-2</v>
      </c>
      <c r="G483" s="18">
        <f t="shared" si="46"/>
        <v>-2.4049270155441449E-2</v>
      </c>
      <c r="J483" s="28"/>
      <c r="K483" s="8">
        <v>41955</v>
      </c>
      <c r="L483" s="7">
        <v>18702.240000000002</v>
      </c>
      <c r="M483" s="6">
        <v>19165.32</v>
      </c>
      <c r="N483" s="6">
        <v>19215.21</v>
      </c>
      <c r="O483" s="6">
        <v>18654.59</v>
      </c>
      <c r="P483" s="37">
        <v>996500</v>
      </c>
    </row>
    <row r="484" spans="2:16" ht="15" thickBot="1">
      <c r="B484" s="9">
        <f t="shared" si="47"/>
        <v>7</v>
      </c>
      <c r="C484" s="15">
        <f t="shared" si="42"/>
        <v>2</v>
      </c>
      <c r="D484" s="25">
        <f t="shared" si="43"/>
        <v>41954</v>
      </c>
      <c r="E484" s="16">
        <f t="shared" si="44"/>
        <v>1.332395913708817E-3</v>
      </c>
      <c r="F484" s="17">
        <f t="shared" si="45"/>
        <v>-1.5940979949669032E-4</v>
      </c>
      <c r="G484" s="18">
        <f t="shared" si="46"/>
        <v>-1.4918057132055074E-3</v>
      </c>
      <c r="J484" s="28"/>
      <c r="K484" s="8">
        <v>41954</v>
      </c>
      <c r="L484" s="7">
        <v>19255.47</v>
      </c>
      <c r="M484" s="6">
        <v>19284.2</v>
      </c>
      <c r="N484" s="6">
        <v>19552.27</v>
      </c>
      <c r="O484" s="6">
        <v>19144.75</v>
      </c>
      <c r="P484" s="37">
        <v>912810</v>
      </c>
    </row>
    <row r="485" spans="2:16" ht="15" thickBot="1">
      <c r="B485" s="9">
        <f t="shared" si="47"/>
        <v>6</v>
      </c>
      <c r="C485" s="15">
        <f t="shared" si="42"/>
        <v>1</v>
      </c>
      <c r="D485" s="25">
        <f t="shared" si="43"/>
        <v>41953</v>
      </c>
      <c r="E485" s="16">
        <f t="shared" si="44"/>
        <v>-1.3128871367434902E-3</v>
      </c>
      <c r="F485" s="17">
        <f t="shared" si="45"/>
        <v>8.547644134793364E-3</v>
      </c>
      <c r="G485" s="18">
        <f t="shared" si="46"/>
        <v>9.8605312715368543E-3</v>
      </c>
      <c r="J485" s="28"/>
      <c r="K485" s="8">
        <v>41953</v>
      </c>
      <c r="L485" s="5">
        <v>19258.54</v>
      </c>
      <c r="M485" s="6">
        <v>19070.25</v>
      </c>
      <c r="N485" s="6">
        <v>19271.95</v>
      </c>
      <c r="O485" s="6">
        <v>18987.599999999999</v>
      </c>
      <c r="P485" s="37">
        <v>666460</v>
      </c>
    </row>
    <row r="486" spans="2:16" ht="15" thickBot="1">
      <c r="B486" s="9">
        <f t="shared" si="47"/>
        <v>5</v>
      </c>
      <c r="C486" s="15">
        <f t="shared" si="42"/>
        <v>5</v>
      </c>
      <c r="D486" s="25">
        <f t="shared" si="43"/>
        <v>41950</v>
      </c>
      <c r="E486" s="16">
        <f t="shared" si="44"/>
        <v>5.5901348974580767E-3</v>
      </c>
      <c r="F486" s="17">
        <f t="shared" si="45"/>
        <v>-9.8746432601047873E-3</v>
      </c>
      <c r="G486" s="18">
        <f t="shared" si="46"/>
        <v>-1.5464778157562864E-2</v>
      </c>
      <c r="J486" s="28"/>
      <c r="K486" s="8">
        <v>41950</v>
      </c>
      <c r="L486" s="7">
        <v>19095.32</v>
      </c>
      <c r="M486" s="6">
        <v>19393.57</v>
      </c>
      <c r="N486" s="6">
        <v>19404.669999999998</v>
      </c>
      <c r="O486" s="6">
        <v>18914.88</v>
      </c>
      <c r="P486" s="37">
        <v>850450</v>
      </c>
    </row>
    <row r="487" spans="2:16" ht="15" thickBot="1">
      <c r="B487" s="9">
        <f t="shared" si="47"/>
        <v>4</v>
      </c>
      <c r="C487" s="15">
        <f t="shared" si="42"/>
        <v>4</v>
      </c>
      <c r="D487" s="25">
        <f t="shared" si="43"/>
        <v>41949</v>
      </c>
      <c r="E487" s="16">
        <f t="shared" si="44"/>
        <v>-4.8600334056521088E-3</v>
      </c>
      <c r="F487" s="17">
        <f t="shared" si="45"/>
        <v>-7.3137274582621981E-3</v>
      </c>
      <c r="G487" s="18">
        <f t="shared" si="46"/>
        <v>-2.4536940526100892E-3</v>
      </c>
      <c r="J487" s="28"/>
      <c r="K487" s="8">
        <v>41949</v>
      </c>
      <c r="L487" s="7">
        <v>19285.759999999998</v>
      </c>
      <c r="M487" s="6">
        <v>19333.43</v>
      </c>
      <c r="N487" s="6">
        <v>19771.93</v>
      </c>
      <c r="O487" s="6">
        <v>19120.22</v>
      </c>
      <c r="P487" s="37">
        <v>1100000</v>
      </c>
    </row>
    <row r="488" spans="2:16" ht="15" thickBot="1">
      <c r="B488" s="9">
        <f t="shared" si="47"/>
        <v>3</v>
      </c>
      <c r="C488" s="15">
        <f t="shared" si="42"/>
        <v>3</v>
      </c>
      <c r="D488" s="25">
        <f t="shared" si="43"/>
        <v>41948</v>
      </c>
      <c r="E488" s="16">
        <f t="shared" si="44"/>
        <v>8.4823416142802976E-3</v>
      </c>
      <c r="F488" s="17">
        <f t="shared" si="45"/>
        <v>2.6048568152638785E-2</v>
      </c>
      <c r="G488" s="18">
        <f t="shared" si="46"/>
        <v>1.7566226538358487E-2</v>
      </c>
      <c r="J488" s="28"/>
      <c r="K488" s="8">
        <v>41948</v>
      </c>
      <c r="L488" s="5">
        <v>19427.849999999999</v>
      </c>
      <c r="M488" s="6">
        <v>19095.240000000002</v>
      </c>
      <c r="N488" s="6">
        <v>19449.11</v>
      </c>
      <c r="O488" s="6">
        <v>18962.93</v>
      </c>
      <c r="P488" s="37">
        <v>849100</v>
      </c>
    </row>
    <row r="489" spans="2:16" ht="15" thickBot="1">
      <c r="B489" s="9">
        <f t="shared" si="47"/>
        <v>2</v>
      </c>
      <c r="C489" s="15">
        <f t="shared" si="42"/>
        <v>2</v>
      </c>
      <c r="D489" s="25">
        <f t="shared" si="43"/>
        <v>41947</v>
      </c>
      <c r="E489" s="16">
        <f t="shared" si="44"/>
        <v>3.3269606170263089E-3</v>
      </c>
      <c r="F489" s="17">
        <f t="shared" si="45"/>
        <v>-2.2427555742337013E-2</v>
      </c>
      <c r="G489" s="18">
        <f t="shared" si="46"/>
        <v>-2.5754516359363322E-2</v>
      </c>
      <c r="J489" s="28"/>
      <c r="K489" s="8">
        <v>41947</v>
      </c>
      <c r="L489" s="7">
        <v>18934.63</v>
      </c>
      <c r="M489" s="6">
        <v>19433.47</v>
      </c>
      <c r="N489" s="6">
        <v>19601.740000000002</v>
      </c>
      <c r="O489" s="6">
        <v>18902.509999999998</v>
      </c>
      <c r="P489" s="37">
        <v>943070</v>
      </c>
    </row>
    <row r="490" spans="2:16" ht="15" thickBot="1">
      <c r="B490" s="19">
        <v>1</v>
      </c>
      <c r="C490" s="15">
        <f t="shared" si="42"/>
        <v>1</v>
      </c>
      <c r="D490" s="25">
        <f t="shared" si="43"/>
        <v>41946</v>
      </c>
      <c r="E490" s="16">
        <f t="shared" si="44"/>
        <v>-1.1701380762930702E-3</v>
      </c>
      <c r="F490" s="17">
        <f t="shared" si="45"/>
        <v>-2.0974535470347666E-2</v>
      </c>
      <c r="G490" s="18">
        <f t="shared" si="46"/>
        <v>-1.9804397394054596E-2</v>
      </c>
      <c r="J490" s="28"/>
      <c r="K490" s="8">
        <v>41946</v>
      </c>
      <c r="L490" s="7">
        <v>19369.03</v>
      </c>
      <c r="M490" s="6">
        <v>19760.84</v>
      </c>
      <c r="N490" s="6">
        <v>19832.259999999998</v>
      </c>
      <c r="O490" s="6">
        <v>19342.990000000002</v>
      </c>
      <c r="P490" s="37">
        <v>999310</v>
      </c>
    </row>
    <row r="491" spans="2:16" ht="15" thickBot="1">
      <c r="B491" s="9">
        <f t="shared" si="47"/>
        <v>23</v>
      </c>
      <c r="C491" s="15">
        <f t="shared" si="42"/>
        <v>5</v>
      </c>
      <c r="D491" s="25">
        <f t="shared" si="43"/>
        <v>41943</v>
      </c>
      <c r="E491" s="16">
        <f t="shared" si="44"/>
        <v>1.891624784249335E-2</v>
      </c>
      <c r="F491" s="17">
        <f t="shared" si="45"/>
        <v>3.070549492800323E-2</v>
      </c>
      <c r="G491" s="18">
        <f t="shared" si="46"/>
        <v>1.178924708550988E-2</v>
      </c>
      <c r="J491" s="28"/>
      <c r="K491" s="8">
        <v>41943</v>
      </c>
      <c r="L491" s="5">
        <v>19783.990000000002</v>
      </c>
      <c r="M491" s="6">
        <v>19557.7</v>
      </c>
      <c r="N491" s="6">
        <v>19783.990000000002</v>
      </c>
      <c r="O491" s="6">
        <v>19304.849999999999</v>
      </c>
      <c r="P491" s="37">
        <v>1290000</v>
      </c>
    </row>
    <row r="492" spans="2:16" ht="15" thickBot="1">
      <c r="B492" s="9">
        <f t="shared" si="47"/>
        <v>22</v>
      </c>
      <c r="C492" s="15">
        <f t="shared" si="42"/>
        <v>4</v>
      </c>
      <c r="D492" s="25">
        <f t="shared" si="43"/>
        <v>41942</v>
      </c>
      <c r="E492" s="16">
        <f t="shared" si="44"/>
        <v>9.0455860160638668E-3</v>
      </c>
      <c r="F492" s="17">
        <f t="shared" si="45"/>
        <v>1.941807373752491E-3</v>
      </c>
      <c r="G492" s="18">
        <f t="shared" si="46"/>
        <v>-7.1037786423113758E-3</v>
      </c>
      <c r="J492" s="28"/>
      <c r="K492" s="8">
        <v>41942</v>
      </c>
      <c r="L492" s="5">
        <v>19194.61</v>
      </c>
      <c r="M492" s="6">
        <v>19330.7</v>
      </c>
      <c r="N492" s="6">
        <v>19400.41</v>
      </c>
      <c r="O492" s="6">
        <v>18701.189999999999</v>
      </c>
      <c r="P492" s="37">
        <v>1160000</v>
      </c>
    </row>
    <row r="493" spans="2:16" ht="15" thickBot="1">
      <c r="B493" s="9">
        <f t="shared" si="47"/>
        <v>21</v>
      </c>
      <c r="C493" s="15">
        <f t="shared" si="42"/>
        <v>3</v>
      </c>
      <c r="D493" s="25">
        <f t="shared" si="43"/>
        <v>41941</v>
      </c>
      <c r="E493" s="16">
        <f t="shared" si="44"/>
        <v>-3.3167972676984014E-4</v>
      </c>
      <c r="F493" s="17">
        <f t="shared" si="45"/>
        <v>-1.6389394052972239E-2</v>
      </c>
      <c r="G493" s="18">
        <f t="shared" si="46"/>
        <v>-1.6057714326202399E-2</v>
      </c>
      <c r="J493" s="28"/>
      <c r="K493" s="8">
        <v>41941</v>
      </c>
      <c r="L493" s="7">
        <v>19157.41</v>
      </c>
      <c r="M493" s="6">
        <v>19470.16</v>
      </c>
      <c r="N493" s="6">
        <v>19561.169999999998</v>
      </c>
      <c r="O493" s="6">
        <v>19134.43</v>
      </c>
      <c r="P493" s="37">
        <v>893520</v>
      </c>
    </row>
    <row r="494" spans="2:16" ht="15" thickBot="1">
      <c r="B494" s="9">
        <f t="shared" si="47"/>
        <v>20</v>
      </c>
      <c r="C494" s="15">
        <f t="shared" si="42"/>
        <v>2</v>
      </c>
      <c r="D494" s="25">
        <f t="shared" si="43"/>
        <v>41940</v>
      </c>
      <c r="E494" s="16">
        <f t="shared" si="44"/>
        <v>8.4388451741503889E-3</v>
      </c>
      <c r="F494" s="17">
        <f t="shared" si="45"/>
        <v>2.3540793970361573E-2</v>
      </c>
      <c r="G494" s="18">
        <f t="shared" si="46"/>
        <v>1.5101948796211184E-2</v>
      </c>
      <c r="J494" s="28"/>
      <c r="K494" s="8">
        <v>41940</v>
      </c>
      <c r="L494" s="5">
        <v>19476.62</v>
      </c>
      <c r="M494" s="6">
        <v>19189.25</v>
      </c>
      <c r="N494" s="6">
        <v>19482.189999999999</v>
      </c>
      <c r="O494" s="6">
        <v>19151.099999999999</v>
      </c>
      <c r="P494" s="37">
        <v>751460</v>
      </c>
    </row>
    <row r="495" spans="2:16" ht="15" thickBot="1">
      <c r="B495" s="9">
        <f t="shared" si="47"/>
        <v>19</v>
      </c>
      <c r="C495" s="15">
        <f t="shared" si="42"/>
        <v>1</v>
      </c>
      <c r="D495" s="25">
        <f t="shared" si="43"/>
        <v>41939</v>
      </c>
      <c r="E495" s="16">
        <f t="shared" si="44"/>
        <v>1.4085171689317777E-2</v>
      </c>
      <c r="F495" s="17">
        <f t="shared" si="45"/>
        <v>-2.3954537620642258E-2</v>
      </c>
      <c r="G495" s="18">
        <f t="shared" si="46"/>
        <v>-3.8039709309960035E-2</v>
      </c>
      <c r="J495" s="28"/>
      <c r="K495" s="8">
        <v>41939</v>
      </c>
      <c r="L495" s="7">
        <v>19028.669999999998</v>
      </c>
      <c r="M495" s="6">
        <v>19770.28</v>
      </c>
      <c r="N495" s="6">
        <v>19773.57</v>
      </c>
      <c r="O495" s="6">
        <v>18915.61</v>
      </c>
      <c r="P495" s="37">
        <v>1260000</v>
      </c>
    </row>
    <row r="496" spans="2:16" ht="15" thickBot="1">
      <c r="B496" s="9">
        <f t="shared" si="47"/>
        <v>18</v>
      </c>
      <c r="C496" s="15">
        <f t="shared" si="42"/>
        <v>5</v>
      </c>
      <c r="D496" s="25">
        <f t="shared" si="43"/>
        <v>41936</v>
      </c>
      <c r="E496" s="16">
        <f t="shared" si="44"/>
        <v>-2.5335760571916222E-3</v>
      </c>
      <c r="F496" s="17">
        <f t="shared" si="45"/>
        <v>3.1232344977973892E-3</v>
      </c>
      <c r="G496" s="18">
        <f t="shared" si="46"/>
        <v>5.6568105549890113E-3</v>
      </c>
      <c r="J496" s="28"/>
      <c r="K496" s="8">
        <v>41936</v>
      </c>
      <c r="L496" s="5">
        <v>19495.68</v>
      </c>
      <c r="M496" s="6">
        <v>19385.740000000002</v>
      </c>
      <c r="N496" s="6">
        <v>19534.77</v>
      </c>
      <c r="O496" s="6">
        <v>19273.37</v>
      </c>
      <c r="P496" s="37">
        <v>933370</v>
      </c>
    </row>
    <row r="497" spans="2:16" ht="15" thickBot="1">
      <c r="B497" s="9">
        <f t="shared" si="47"/>
        <v>17</v>
      </c>
      <c r="C497" s="15">
        <f t="shared" si="42"/>
        <v>4</v>
      </c>
      <c r="D497" s="25">
        <f t="shared" si="43"/>
        <v>41935</v>
      </c>
      <c r="E497" s="16">
        <f t="shared" si="44"/>
        <v>-6.5954713553493249E-3</v>
      </c>
      <c r="F497" s="17">
        <f t="shared" si="45"/>
        <v>8.757801855576508E-3</v>
      </c>
      <c r="G497" s="18">
        <f t="shared" si="46"/>
        <v>1.5353273210925833E-2</v>
      </c>
      <c r="J497" s="28"/>
      <c r="K497" s="8">
        <v>41935</v>
      </c>
      <c r="L497" s="5">
        <v>19434.98</v>
      </c>
      <c r="M497" s="6">
        <v>19139.18</v>
      </c>
      <c r="N497" s="6">
        <v>19490.41</v>
      </c>
      <c r="O497" s="6">
        <v>19037.25</v>
      </c>
      <c r="P497" s="37">
        <v>787010</v>
      </c>
    </row>
    <row r="498" spans="2:16" ht="15" thickBot="1">
      <c r="B498" s="9">
        <f t="shared" si="47"/>
        <v>16</v>
      </c>
      <c r="C498" s="15">
        <f t="shared" si="42"/>
        <v>3</v>
      </c>
      <c r="D498" s="25">
        <f t="shared" si="43"/>
        <v>41934</v>
      </c>
      <c r="E498" s="16">
        <f t="shared" si="44"/>
        <v>1.8753554989787702E-3</v>
      </c>
      <c r="F498" s="17">
        <f t="shared" si="45"/>
        <v>1.0942022445497024E-2</v>
      </c>
      <c r="G498" s="18">
        <f t="shared" si="46"/>
        <v>9.0666669465182537E-3</v>
      </c>
      <c r="J498" s="28"/>
      <c r="K498" s="8">
        <v>41934</v>
      </c>
      <c r="L498" s="5">
        <v>19266.25</v>
      </c>
      <c r="M498" s="6">
        <v>19093.46</v>
      </c>
      <c r="N498" s="6">
        <v>19267.990000000002</v>
      </c>
      <c r="O498" s="6">
        <v>18902.330000000002</v>
      </c>
      <c r="P498" s="37">
        <v>791210</v>
      </c>
    </row>
    <row r="499" spans="2:16" ht="15" thickBot="1">
      <c r="B499" s="9">
        <f t="shared" si="47"/>
        <v>15</v>
      </c>
      <c r="C499" s="15">
        <f t="shared" si="42"/>
        <v>2</v>
      </c>
      <c r="D499" s="25">
        <f t="shared" si="43"/>
        <v>41933</v>
      </c>
      <c r="E499" s="16">
        <f t="shared" si="44"/>
        <v>-4.5193930992819542E-3</v>
      </c>
      <c r="F499" s="17">
        <f t="shared" si="45"/>
        <v>2.7918943263520735E-2</v>
      </c>
      <c r="G499" s="18">
        <f t="shared" si="46"/>
        <v>3.2438336362802689E-2</v>
      </c>
      <c r="J499" s="28"/>
      <c r="K499" s="8">
        <v>41933</v>
      </c>
      <c r="L499" s="5">
        <v>19057.72</v>
      </c>
      <c r="M499" s="6">
        <v>18456.310000000001</v>
      </c>
      <c r="N499" s="6">
        <v>19057.72</v>
      </c>
      <c r="O499" s="6">
        <v>18440.98</v>
      </c>
      <c r="P499" s="37">
        <v>968020</v>
      </c>
    </row>
    <row r="500" spans="2:16" ht="15" thickBot="1">
      <c r="B500" s="9">
        <f t="shared" si="47"/>
        <v>14</v>
      </c>
      <c r="C500" s="15">
        <f t="shared" si="42"/>
        <v>1</v>
      </c>
      <c r="D500" s="25">
        <f t="shared" si="43"/>
        <v>41932</v>
      </c>
      <c r="E500" s="16">
        <f t="shared" si="44"/>
        <v>-7.2028310815808183E-4</v>
      </c>
      <c r="F500" s="17">
        <f t="shared" si="45"/>
        <v>-8.60275771644059E-3</v>
      </c>
      <c r="G500" s="18">
        <f t="shared" si="46"/>
        <v>-7.8824746082825081E-3</v>
      </c>
      <c r="J500" s="28"/>
      <c r="K500" s="8">
        <v>41932</v>
      </c>
      <c r="L500" s="7">
        <v>18540.099999999999</v>
      </c>
      <c r="M500" s="6">
        <v>18687.509999999998</v>
      </c>
      <c r="N500" s="6">
        <v>18881.91</v>
      </c>
      <c r="O500" s="6">
        <v>18414.400000000001</v>
      </c>
      <c r="P500" s="37">
        <v>812540</v>
      </c>
    </row>
    <row r="501" spans="2:16" ht="15" thickBot="1">
      <c r="B501" s="9">
        <f t="shared" si="47"/>
        <v>13</v>
      </c>
      <c r="C501" s="15">
        <f t="shared" si="42"/>
        <v>5</v>
      </c>
      <c r="D501" s="25">
        <f t="shared" si="43"/>
        <v>41929</v>
      </c>
      <c r="E501" s="16">
        <f t="shared" si="44"/>
        <v>3.5558042836658643E-3</v>
      </c>
      <c r="F501" s="17">
        <f t="shared" si="45"/>
        <v>3.4168348254254965E-2</v>
      </c>
      <c r="G501" s="18">
        <f t="shared" si="46"/>
        <v>3.0612543970589101E-2</v>
      </c>
      <c r="J501" s="28"/>
      <c r="K501" s="8">
        <v>41929</v>
      </c>
      <c r="L501" s="5">
        <v>18700.98</v>
      </c>
      <c r="M501" s="6">
        <v>18147.41</v>
      </c>
      <c r="N501" s="6">
        <v>18722.09</v>
      </c>
      <c r="O501" s="6">
        <v>17996.89</v>
      </c>
      <c r="P501" s="37">
        <v>1210000</v>
      </c>
    </row>
    <row r="502" spans="2:16" ht="15" thickBot="1">
      <c r="B502" s="9">
        <f t="shared" si="47"/>
        <v>12</v>
      </c>
      <c r="C502" s="15">
        <f t="shared" si="42"/>
        <v>4</v>
      </c>
      <c r="D502" s="25">
        <f t="shared" si="43"/>
        <v>41928</v>
      </c>
      <c r="E502" s="16">
        <f t="shared" si="44"/>
        <v>7.4214735981827928E-3</v>
      </c>
      <c r="F502" s="17">
        <f t="shared" si="45"/>
        <v>-1.2121284961095324E-2</v>
      </c>
      <c r="G502" s="18">
        <f t="shared" si="46"/>
        <v>-1.9542758559278117E-2</v>
      </c>
      <c r="J502" s="28"/>
      <c r="K502" s="8">
        <v>41928</v>
      </c>
      <c r="L502" s="7">
        <v>18083.11</v>
      </c>
      <c r="M502" s="6">
        <v>18440.84</v>
      </c>
      <c r="N502" s="6">
        <v>18576.16</v>
      </c>
      <c r="O502" s="6">
        <v>17555.77</v>
      </c>
      <c r="P502" s="37">
        <v>1780000</v>
      </c>
    </row>
    <row r="503" spans="2:16" ht="15" thickBot="1">
      <c r="B503" s="9">
        <f t="shared" si="47"/>
        <v>11</v>
      </c>
      <c r="C503" s="15">
        <f t="shared" si="42"/>
        <v>3</v>
      </c>
      <c r="D503" s="25">
        <f t="shared" si="43"/>
        <v>41927</v>
      </c>
      <c r="E503" s="16">
        <f t="shared" si="44"/>
        <v>-2.1492129036299046E-3</v>
      </c>
      <c r="F503" s="17">
        <f t="shared" si="45"/>
        <v>-4.4417762720004417E-2</v>
      </c>
      <c r="G503" s="18">
        <f t="shared" si="46"/>
        <v>-4.2268549816374512E-2</v>
      </c>
      <c r="J503" s="28"/>
      <c r="K503" s="8">
        <v>41927</v>
      </c>
      <c r="L503" s="7">
        <v>18304.990000000002</v>
      </c>
      <c r="M503" s="6">
        <v>19114.68</v>
      </c>
      <c r="N503" s="6">
        <v>19169.580000000002</v>
      </c>
      <c r="O503" s="6">
        <v>18304.990000000002</v>
      </c>
      <c r="P503" s="37">
        <v>1140000</v>
      </c>
    </row>
    <row r="504" spans="2:16" ht="15" thickBot="1">
      <c r="B504" s="9">
        <f t="shared" si="47"/>
        <v>10</v>
      </c>
      <c r="C504" s="15">
        <f t="shared" si="42"/>
        <v>2</v>
      </c>
      <c r="D504" s="25">
        <f t="shared" si="43"/>
        <v>41926</v>
      </c>
      <c r="E504" s="16">
        <f t="shared" si="44"/>
        <v>-3.6997598630655881E-3</v>
      </c>
      <c r="F504" s="17">
        <f t="shared" si="45"/>
        <v>8.7621766563472647E-4</v>
      </c>
      <c r="G504" s="18">
        <f t="shared" si="46"/>
        <v>4.5759775287003146E-3</v>
      </c>
      <c r="J504" s="28"/>
      <c r="K504" s="8">
        <v>41926</v>
      </c>
      <c r="L504" s="5">
        <v>19155.849999999999</v>
      </c>
      <c r="M504" s="6">
        <v>19068.27</v>
      </c>
      <c r="N504" s="6">
        <v>19213.64</v>
      </c>
      <c r="O504" s="6">
        <v>18756.66</v>
      </c>
      <c r="P504" s="37">
        <v>891440</v>
      </c>
    </row>
    <row r="505" spans="2:16" ht="15" thickBot="1">
      <c r="B505" s="9">
        <f t="shared" si="47"/>
        <v>9</v>
      </c>
      <c r="C505" s="15">
        <f t="shared" si="42"/>
        <v>1</v>
      </c>
      <c r="D505" s="25">
        <f t="shared" si="43"/>
        <v>41925</v>
      </c>
      <c r="E505" s="16">
        <f t="shared" si="44"/>
        <v>-7.6069073593678649E-3</v>
      </c>
      <c r="F505" s="17">
        <f t="shared" si="45"/>
        <v>-3.2232746574781812E-3</v>
      </c>
      <c r="G505" s="18">
        <f t="shared" si="46"/>
        <v>4.3836327018896837E-3</v>
      </c>
      <c r="J505" s="28"/>
      <c r="K505" s="8">
        <v>41925</v>
      </c>
      <c r="L505" s="7">
        <v>19139.080000000002</v>
      </c>
      <c r="M505" s="6">
        <v>19054.91</v>
      </c>
      <c r="N505" s="6">
        <v>19421.98</v>
      </c>
      <c r="O505" s="6">
        <v>19041.27</v>
      </c>
      <c r="P505" s="37">
        <v>672660</v>
      </c>
    </row>
    <row r="506" spans="2:16" ht="15" thickBot="1">
      <c r="B506" s="9">
        <f t="shared" si="47"/>
        <v>8</v>
      </c>
      <c r="C506" s="15">
        <f t="shared" si="42"/>
        <v>5</v>
      </c>
      <c r="D506" s="25">
        <f t="shared" si="43"/>
        <v>41922</v>
      </c>
      <c r="E506" s="16">
        <f t="shared" si="44"/>
        <v>-8.4070725691075543E-3</v>
      </c>
      <c r="F506" s="17">
        <f t="shared" si="45"/>
        <v>-9.3651538063479478E-3</v>
      </c>
      <c r="G506" s="18">
        <f t="shared" si="46"/>
        <v>-9.5808123724039351E-4</v>
      </c>
      <c r="J506" s="28"/>
      <c r="K506" s="8">
        <v>41922</v>
      </c>
      <c r="L506" s="7">
        <v>19200.97</v>
      </c>
      <c r="M506" s="6">
        <v>19219.54</v>
      </c>
      <c r="N506" s="6">
        <v>19428.54</v>
      </c>
      <c r="O506" s="6">
        <v>19019.82</v>
      </c>
      <c r="P506" s="37">
        <v>856240</v>
      </c>
    </row>
    <row r="507" spans="2:16" ht="15" thickBot="1">
      <c r="B507" s="9">
        <f t="shared" si="47"/>
        <v>7</v>
      </c>
      <c r="C507" s="15">
        <f t="shared" si="42"/>
        <v>4</v>
      </c>
      <c r="D507" s="25">
        <f t="shared" si="43"/>
        <v>41921</v>
      </c>
      <c r="E507" s="16">
        <f t="shared" si="44"/>
        <v>1.2442550427604449E-2</v>
      </c>
      <c r="F507" s="17">
        <f t="shared" si="45"/>
        <v>-1.3387296524545844E-2</v>
      </c>
      <c r="G507" s="18">
        <f t="shared" si="46"/>
        <v>-2.5829846952150293E-2</v>
      </c>
      <c r="J507" s="28"/>
      <c r="K507" s="8">
        <v>41921</v>
      </c>
      <c r="L507" s="7">
        <v>19382.490000000002</v>
      </c>
      <c r="M507" s="6">
        <v>19889.93</v>
      </c>
      <c r="N507" s="6">
        <v>19889.93</v>
      </c>
      <c r="O507" s="6">
        <v>19328.47</v>
      </c>
      <c r="P507" s="37">
        <v>876570</v>
      </c>
    </row>
    <row r="508" spans="2:16" ht="15" thickBot="1">
      <c r="B508" s="9">
        <f t="shared" si="47"/>
        <v>6</v>
      </c>
      <c r="C508" s="15">
        <f t="shared" ref="C508:C571" si="48">WEEKDAY(D508,2)</f>
        <v>3</v>
      </c>
      <c r="D508" s="25">
        <f t="shared" ref="D508:D571" si="49">K508</f>
        <v>41920</v>
      </c>
      <c r="E508" s="16">
        <f t="shared" ref="E508:E571" si="50">M508/L509-1</f>
        <v>-1.9967923866979209E-3</v>
      </c>
      <c r="F508" s="17">
        <f t="shared" ref="F508:F571" si="51">L508/L509-1</f>
        <v>-6.3838686689212665E-3</v>
      </c>
      <c r="G508" s="18">
        <f t="shared" ref="G508:G571" si="52">F508-E508</f>
        <v>-4.3870762822233456E-3</v>
      </c>
      <c r="J508" s="28"/>
      <c r="K508" s="8">
        <v>41920</v>
      </c>
      <c r="L508" s="7">
        <v>19645.490000000002</v>
      </c>
      <c r="M508" s="6">
        <v>19732.23</v>
      </c>
      <c r="N508" s="6">
        <v>19869.09</v>
      </c>
      <c r="O508" s="6">
        <v>19564.150000000001</v>
      </c>
      <c r="P508" s="37">
        <v>682540</v>
      </c>
    </row>
    <row r="509" spans="2:16" ht="15" thickBot="1">
      <c r="B509" s="9">
        <f t="shared" si="47"/>
        <v>5</v>
      </c>
      <c r="C509" s="15">
        <f t="shared" si="48"/>
        <v>2</v>
      </c>
      <c r="D509" s="25">
        <f t="shared" si="49"/>
        <v>41919</v>
      </c>
      <c r="E509" s="16">
        <f t="shared" si="50"/>
        <v>-2.778367304133722E-3</v>
      </c>
      <c r="F509" s="17">
        <f t="shared" si="51"/>
        <v>-1.7297448822623407E-2</v>
      </c>
      <c r="G509" s="18">
        <f t="shared" si="52"/>
        <v>-1.4519081518489685E-2</v>
      </c>
      <c r="J509" s="28"/>
      <c r="K509" s="8">
        <v>41919</v>
      </c>
      <c r="L509" s="7">
        <v>19771.71</v>
      </c>
      <c r="M509" s="6">
        <v>20063.830000000002</v>
      </c>
      <c r="N509" s="6">
        <v>20132.36</v>
      </c>
      <c r="O509" s="6">
        <v>19771.71</v>
      </c>
      <c r="P509" s="37">
        <v>631080</v>
      </c>
    </row>
    <row r="510" spans="2:16" ht="15" thickBot="1">
      <c r="B510" s="9">
        <f t="shared" si="47"/>
        <v>4</v>
      </c>
      <c r="C510" s="15">
        <f t="shared" si="48"/>
        <v>1</v>
      </c>
      <c r="D510" s="25">
        <f t="shared" si="49"/>
        <v>41918</v>
      </c>
      <c r="E510" s="16">
        <f t="shared" si="50"/>
        <v>5.5240878745306254E-3</v>
      </c>
      <c r="F510" s="17">
        <f t="shared" si="51"/>
        <v>-4.0043325402883134E-3</v>
      </c>
      <c r="G510" s="18">
        <f t="shared" si="52"/>
        <v>-9.5284204148189389E-3</v>
      </c>
      <c r="J510" s="28"/>
      <c r="K510" s="8">
        <v>41918</v>
      </c>
      <c r="L510" s="7">
        <v>20119.73</v>
      </c>
      <c r="M510" s="6">
        <v>20312.21</v>
      </c>
      <c r="N510" s="6">
        <v>20389.490000000002</v>
      </c>
      <c r="O510" s="6">
        <v>20114.009999999998</v>
      </c>
      <c r="P510" s="37">
        <v>502090</v>
      </c>
    </row>
    <row r="511" spans="2:16" ht="15" thickBot="1">
      <c r="B511" s="9">
        <f t="shared" si="47"/>
        <v>3</v>
      </c>
      <c r="C511" s="15">
        <f t="shared" si="48"/>
        <v>5</v>
      </c>
      <c r="D511" s="25">
        <f t="shared" si="49"/>
        <v>41915</v>
      </c>
      <c r="E511" s="16">
        <f t="shared" si="50"/>
        <v>6.9052942264540285E-3</v>
      </c>
      <c r="F511" s="17">
        <f t="shared" si="51"/>
        <v>1.5367773014966613E-2</v>
      </c>
      <c r="G511" s="18">
        <f t="shared" si="52"/>
        <v>8.4624787885125841E-3</v>
      </c>
      <c r="J511" s="28"/>
      <c r="K511" s="8">
        <v>41915</v>
      </c>
      <c r="L511" s="5">
        <v>20200.62</v>
      </c>
      <c r="M511" s="6">
        <v>20032.259999999998</v>
      </c>
      <c r="N511" s="6">
        <v>20214.79</v>
      </c>
      <c r="O511" s="6">
        <v>19977.22</v>
      </c>
      <c r="P511" s="37">
        <v>559180</v>
      </c>
    </row>
    <row r="512" spans="2:16" ht="15" thickBot="1">
      <c r="B512" s="9">
        <f t="shared" si="47"/>
        <v>2</v>
      </c>
      <c r="C512" s="15">
        <f t="shared" si="48"/>
        <v>4</v>
      </c>
      <c r="D512" s="25">
        <f t="shared" si="49"/>
        <v>41914</v>
      </c>
      <c r="E512" s="16">
        <f t="shared" si="50"/>
        <v>-1.3097456765596149E-3</v>
      </c>
      <c r="F512" s="17">
        <f t="shared" si="51"/>
        <v>-3.918757132487638E-2</v>
      </c>
      <c r="G512" s="18">
        <f t="shared" si="52"/>
        <v>-3.7877825648316765E-2</v>
      </c>
      <c r="J512" s="28"/>
      <c r="K512" s="8">
        <v>41914</v>
      </c>
      <c r="L512" s="7">
        <v>19894.88</v>
      </c>
      <c r="M512" s="6">
        <v>20679.189999999999</v>
      </c>
      <c r="N512" s="6">
        <v>20715.84</v>
      </c>
      <c r="O512" s="6">
        <v>19894.88</v>
      </c>
      <c r="P512" s="37">
        <v>1020000</v>
      </c>
    </row>
    <row r="513" spans="2:16" ht="15" thickBot="1">
      <c r="B513" s="19">
        <v>1</v>
      </c>
      <c r="C513" s="15">
        <f t="shared" si="48"/>
        <v>3</v>
      </c>
      <c r="D513" s="25">
        <f t="shared" si="49"/>
        <v>41913</v>
      </c>
      <c r="E513" s="16">
        <f t="shared" si="50"/>
        <v>-4.3250777446606214E-3</v>
      </c>
      <c r="F513" s="17">
        <f t="shared" si="51"/>
        <v>-8.8933094838195004E-3</v>
      </c>
      <c r="G513" s="18">
        <f t="shared" si="52"/>
        <v>-4.5682317391588789E-3</v>
      </c>
      <c r="J513" s="28"/>
      <c r="K513" s="8">
        <v>41913</v>
      </c>
      <c r="L513" s="7">
        <v>20706.310000000001</v>
      </c>
      <c r="M513" s="6">
        <v>20801.75</v>
      </c>
      <c r="N513" s="6">
        <v>20940.27</v>
      </c>
      <c r="O513" s="6">
        <v>20643.3</v>
      </c>
      <c r="P513" s="37">
        <v>600060</v>
      </c>
    </row>
    <row r="514" spans="2:16" ht="15" thickBot="1">
      <c r="B514" s="9">
        <f t="shared" si="47"/>
        <v>22</v>
      </c>
      <c r="C514" s="15">
        <f t="shared" si="48"/>
        <v>2</v>
      </c>
      <c r="D514" s="25">
        <f t="shared" si="49"/>
        <v>41912</v>
      </c>
      <c r="E514" s="16">
        <f t="shared" si="50"/>
        <v>3.8331666350808202E-3</v>
      </c>
      <c r="F514" s="17">
        <f t="shared" si="51"/>
        <v>1.7830947997452995E-2</v>
      </c>
      <c r="G514" s="18">
        <f t="shared" si="52"/>
        <v>1.3997781362372175E-2</v>
      </c>
      <c r="J514" s="28"/>
      <c r="K514" s="8">
        <v>41912</v>
      </c>
      <c r="L514" s="5">
        <v>20892.11</v>
      </c>
      <c r="M514" s="6">
        <v>20604.79</v>
      </c>
      <c r="N514" s="6">
        <v>20911.400000000001</v>
      </c>
      <c r="O514" s="6">
        <v>20522.13</v>
      </c>
      <c r="P514" s="37">
        <v>658810</v>
      </c>
    </row>
    <row r="515" spans="2:16" ht="15" thickBot="1">
      <c r="B515" s="9">
        <f t="shared" si="47"/>
        <v>21</v>
      </c>
      <c r="C515" s="15">
        <f t="shared" si="48"/>
        <v>1</v>
      </c>
      <c r="D515" s="25">
        <f t="shared" si="49"/>
        <v>41911</v>
      </c>
      <c r="E515" s="16">
        <f t="shared" si="50"/>
        <v>1.3070217072357337E-3</v>
      </c>
      <c r="F515" s="17">
        <f t="shared" si="51"/>
        <v>-1.2948074499275486E-2</v>
      </c>
      <c r="G515" s="18">
        <f t="shared" si="52"/>
        <v>-1.425509620651122E-2</v>
      </c>
      <c r="J515" s="28"/>
      <c r="K515" s="8">
        <v>41911</v>
      </c>
      <c r="L515" s="7">
        <v>20526.11</v>
      </c>
      <c r="M515" s="6">
        <v>20822.55</v>
      </c>
      <c r="N515" s="6">
        <v>20858.310000000001</v>
      </c>
      <c r="O515" s="6">
        <v>20384.419999999998</v>
      </c>
      <c r="P515" s="37">
        <v>537160</v>
      </c>
    </row>
    <row r="516" spans="2:16" ht="15" thickBot="1">
      <c r="B516" s="9">
        <f t="shared" si="47"/>
        <v>20</v>
      </c>
      <c r="C516" s="15">
        <f t="shared" si="48"/>
        <v>5</v>
      </c>
      <c r="D516" s="25">
        <f t="shared" si="49"/>
        <v>41908</v>
      </c>
      <c r="E516" s="16">
        <f t="shared" si="50"/>
        <v>-1.6265348585542405E-4</v>
      </c>
      <c r="F516" s="17">
        <f t="shared" si="51"/>
        <v>1.8807054262084621E-2</v>
      </c>
      <c r="G516" s="18">
        <f t="shared" si="52"/>
        <v>1.8969707747940046E-2</v>
      </c>
      <c r="J516" s="28"/>
      <c r="K516" s="8">
        <v>41908</v>
      </c>
      <c r="L516" s="5">
        <v>20795.37</v>
      </c>
      <c r="M516" s="6">
        <v>20408.169999999998</v>
      </c>
      <c r="N516" s="6">
        <v>20830.73</v>
      </c>
      <c r="O516" s="6">
        <v>20373.07</v>
      </c>
      <c r="P516" s="37">
        <v>646520</v>
      </c>
    </row>
    <row r="517" spans="2:16" ht="15" thickBot="1">
      <c r="B517" s="9">
        <f t="shared" si="47"/>
        <v>19</v>
      </c>
      <c r="C517" s="15">
        <f t="shared" si="48"/>
        <v>4</v>
      </c>
      <c r="D517" s="25">
        <f t="shared" si="49"/>
        <v>41907</v>
      </c>
      <c r="E517" s="16">
        <f t="shared" si="50"/>
        <v>-5.3549749070136432E-4</v>
      </c>
      <c r="F517" s="17">
        <f t="shared" si="51"/>
        <v>-1.3510679018550964E-2</v>
      </c>
      <c r="G517" s="18">
        <f t="shared" si="52"/>
        <v>-1.29751815278496E-2</v>
      </c>
      <c r="J517" s="28"/>
      <c r="K517" s="8">
        <v>41907</v>
      </c>
      <c r="L517" s="7">
        <v>20411.490000000002</v>
      </c>
      <c r="M517" s="6">
        <v>20679.96</v>
      </c>
      <c r="N517" s="6">
        <v>20869.57</v>
      </c>
      <c r="O517" s="6">
        <v>20326.28</v>
      </c>
      <c r="P517" s="37">
        <v>991820</v>
      </c>
    </row>
    <row r="518" spans="2:16" ht="15" thickBot="1">
      <c r="B518" s="9">
        <f t="shared" ref="B518:B581" si="53">B519+1</f>
        <v>18</v>
      </c>
      <c r="C518" s="15">
        <f t="shared" si="48"/>
        <v>3</v>
      </c>
      <c r="D518" s="25">
        <f t="shared" si="49"/>
        <v>41906</v>
      </c>
      <c r="E518" s="16">
        <f t="shared" si="50"/>
        <v>1.0407335648368043E-3</v>
      </c>
      <c r="F518" s="17">
        <f t="shared" si="51"/>
        <v>1.6707262482537732E-2</v>
      </c>
      <c r="G518" s="18">
        <f t="shared" si="52"/>
        <v>1.5666528917700928E-2</v>
      </c>
      <c r="J518" s="28"/>
      <c r="K518" s="8">
        <v>41906</v>
      </c>
      <c r="L518" s="5">
        <v>20691.04</v>
      </c>
      <c r="M518" s="6">
        <v>20372.21</v>
      </c>
      <c r="N518" s="6">
        <v>20691.04</v>
      </c>
      <c r="O518" s="6">
        <v>20245.54</v>
      </c>
      <c r="P518" s="37">
        <v>646540</v>
      </c>
    </row>
    <row r="519" spans="2:16" ht="15" thickBot="1">
      <c r="B519" s="9">
        <f t="shared" si="53"/>
        <v>17</v>
      </c>
      <c r="C519" s="15">
        <f t="shared" si="48"/>
        <v>2</v>
      </c>
      <c r="D519" s="25">
        <f t="shared" si="49"/>
        <v>41905</v>
      </c>
      <c r="E519" s="16">
        <f t="shared" si="50"/>
        <v>-1.3728051081121073E-3</v>
      </c>
      <c r="F519" s="17">
        <f t="shared" si="51"/>
        <v>-1.5574420742030748E-2</v>
      </c>
      <c r="G519" s="18">
        <f t="shared" si="52"/>
        <v>-1.4201615633918641E-2</v>
      </c>
      <c r="J519" s="28"/>
      <c r="K519" s="8">
        <v>41905</v>
      </c>
      <c r="L519" s="7">
        <v>20351.03</v>
      </c>
      <c r="M519" s="6">
        <v>20644.62</v>
      </c>
      <c r="N519" s="6">
        <v>20646.34</v>
      </c>
      <c r="O519" s="6">
        <v>20346.93</v>
      </c>
      <c r="P519" s="37">
        <v>604660</v>
      </c>
    </row>
    <row r="520" spans="2:16" ht="15" thickBot="1">
      <c r="B520" s="9">
        <f t="shared" si="53"/>
        <v>16</v>
      </c>
      <c r="C520" s="15">
        <f t="shared" si="48"/>
        <v>1</v>
      </c>
      <c r="D520" s="25">
        <f t="shared" si="49"/>
        <v>41904</v>
      </c>
      <c r="E520" s="16">
        <f t="shared" si="50"/>
        <v>-7.6038212217514056E-3</v>
      </c>
      <c r="F520" s="17">
        <f t="shared" si="51"/>
        <v>-1.4273555419397344E-2</v>
      </c>
      <c r="G520" s="18">
        <f t="shared" si="52"/>
        <v>-6.6697341976459379E-3</v>
      </c>
      <c r="J520" s="28"/>
      <c r="K520" s="8">
        <v>41904</v>
      </c>
      <c r="L520" s="7">
        <v>20673</v>
      </c>
      <c r="M520" s="6">
        <v>20812.88</v>
      </c>
      <c r="N520" s="6">
        <v>20992.28</v>
      </c>
      <c r="O520" s="6">
        <v>20629.689999999999</v>
      </c>
      <c r="P520" s="37">
        <v>539510</v>
      </c>
    </row>
    <row r="521" spans="2:16" ht="15" thickBot="1">
      <c r="B521" s="9">
        <f t="shared" si="53"/>
        <v>15</v>
      </c>
      <c r="C521" s="15">
        <f t="shared" si="48"/>
        <v>5</v>
      </c>
      <c r="D521" s="25">
        <f t="shared" si="49"/>
        <v>41901</v>
      </c>
      <c r="E521" s="16">
        <f t="shared" si="50"/>
        <v>1.0810877327164015E-2</v>
      </c>
      <c r="F521" s="17">
        <f t="shared" si="51"/>
        <v>-7.4008269313049491E-3</v>
      </c>
      <c r="G521" s="18">
        <f t="shared" si="52"/>
        <v>-1.8211704258468964E-2</v>
      </c>
      <c r="J521" s="28"/>
      <c r="K521" s="8">
        <v>41901</v>
      </c>
      <c r="L521" s="7">
        <v>20972.35</v>
      </c>
      <c r="M521" s="6">
        <v>21357.14</v>
      </c>
      <c r="N521" s="6">
        <v>21375.16</v>
      </c>
      <c r="O521" s="6">
        <v>20972.35</v>
      </c>
      <c r="P521" s="37">
        <v>979180</v>
      </c>
    </row>
    <row r="522" spans="2:16" ht="15" thickBot="1">
      <c r="B522" s="9">
        <f t="shared" si="53"/>
        <v>14</v>
      </c>
      <c r="C522" s="15">
        <f t="shared" si="48"/>
        <v>4</v>
      </c>
      <c r="D522" s="25">
        <f t="shared" si="49"/>
        <v>41900</v>
      </c>
      <c r="E522" s="16">
        <f t="shared" si="50"/>
        <v>5.229337721430749E-4</v>
      </c>
      <c r="F522" s="17">
        <f t="shared" si="51"/>
        <v>8.0808425296741149E-4</v>
      </c>
      <c r="G522" s="18">
        <f t="shared" si="52"/>
        <v>2.8515048082433658E-4</v>
      </c>
      <c r="J522" s="28"/>
      <c r="K522" s="8">
        <v>41900</v>
      </c>
      <c r="L522" s="5">
        <v>21128.720000000001</v>
      </c>
      <c r="M522" s="6">
        <v>21122.7</v>
      </c>
      <c r="N522" s="6">
        <v>21280.3</v>
      </c>
      <c r="O522" s="6">
        <v>21058.46</v>
      </c>
      <c r="P522" s="37">
        <v>687310</v>
      </c>
    </row>
    <row r="523" spans="2:16" ht="15" thickBot="1">
      <c r="B523" s="9">
        <f t="shared" si="53"/>
        <v>13</v>
      </c>
      <c r="C523" s="15">
        <f t="shared" si="48"/>
        <v>3</v>
      </c>
      <c r="D523" s="25">
        <f t="shared" si="49"/>
        <v>41899</v>
      </c>
      <c r="E523" s="16">
        <f t="shared" si="50"/>
        <v>4.1854871683861816E-3</v>
      </c>
      <c r="F523" s="17">
        <f t="shared" si="51"/>
        <v>1.5545133126488198E-2</v>
      </c>
      <c r="G523" s="18">
        <f t="shared" si="52"/>
        <v>1.1359645958102016E-2</v>
      </c>
      <c r="J523" s="28"/>
      <c r="K523" s="8">
        <v>41899</v>
      </c>
      <c r="L523" s="5">
        <v>21111.66</v>
      </c>
      <c r="M523" s="6">
        <v>20875.509999999998</v>
      </c>
      <c r="N523" s="6">
        <v>21131.65</v>
      </c>
      <c r="O523" s="6">
        <v>20858.400000000001</v>
      </c>
      <c r="P523" s="37">
        <v>624820</v>
      </c>
    </row>
    <row r="524" spans="2:16" ht="15" thickBot="1">
      <c r="B524" s="9">
        <f t="shared" si="53"/>
        <v>12</v>
      </c>
      <c r="C524" s="15">
        <f t="shared" si="48"/>
        <v>2</v>
      </c>
      <c r="D524" s="25">
        <f t="shared" si="49"/>
        <v>41898</v>
      </c>
      <c r="E524" s="16">
        <f t="shared" si="50"/>
        <v>-1.9135112115453712E-4</v>
      </c>
      <c r="F524" s="17">
        <f t="shared" si="51"/>
        <v>-3.0318841802978724E-3</v>
      </c>
      <c r="G524" s="18">
        <f t="shared" si="52"/>
        <v>-2.8405330591433353E-3</v>
      </c>
      <c r="J524" s="28"/>
      <c r="K524" s="8">
        <v>41898</v>
      </c>
      <c r="L524" s="7">
        <v>20788.5</v>
      </c>
      <c r="M524" s="6">
        <v>20847.73</v>
      </c>
      <c r="N524" s="6">
        <v>20864.73</v>
      </c>
      <c r="O524" s="6">
        <v>20613.38</v>
      </c>
      <c r="P524" s="37">
        <v>586720</v>
      </c>
    </row>
    <row r="525" spans="2:16" ht="15" thickBot="1">
      <c r="B525" s="9">
        <f t="shared" si="53"/>
        <v>11</v>
      </c>
      <c r="C525" s="15">
        <f t="shared" si="48"/>
        <v>1</v>
      </c>
      <c r="D525" s="25">
        <f t="shared" si="49"/>
        <v>41897</v>
      </c>
      <c r="E525" s="16">
        <f t="shared" si="50"/>
        <v>-4.4159968715473674E-3</v>
      </c>
      <c r="F525" s="17">
        <f t="shared" si="51"/>
        <v>-1.0412355869075629E-2</v>
      </c>
      <c r="G525" s="18">
        <f t="shared" si="52"/>
        <v>-5.9963589975282616E-3</v>
      </c>
      <c r="J525" s="28"/>
      <c r="K525" s="8">
        <v>41897</v>
      </c>
      <c r="L525" s="7">
        <v>20851.72</v>
      </c>
      <c r="M525" s="6">
        <v>20978.07</v>
      </c>
      <c r="N525" s="6">
        <v>21002.32</v>
      </c>
      <c r="O525" s="6">
        <v>20802.27</v>
      </c>
      <c r="P525" s="37">
        <v>464690</v>
      </c>
    </row>
    <row r="526" spans="2:16" ht="15" thickBot="1">
      <c r="B526" s="9">
        <f t="shared" si="53"/>
        <v>10</v>
      </c>
      <c r="C526" s="15">
        <f t="shared" si="48"/>
        <v>5</v>
      </c>
      <c r="D526" s="25">
        <f t="shared" si="49"/>
        <v>41894</v>
      </c>
      <c r="E526" s="16">
        <f t="shared" si="50"/>
        <v>1.2013897054081735E-3</v>
      </c>
      <c r="F526" s="17">
        <f t="shared" si="51"/>
        <v>-1.0013161238446866E-3</v>
      </c>
      <c r="G526" s="18">
        <f t="shared" si="52"/>
        <v>-2.2027058292528601E-3</v>
      </c>
      <c r="J526" s="28"/>
      <c r="K526" s="8">
        <v>41894</v>
      </c>
      <c r="L526" s="7">
        <v>21071.119999999999</v>
      </c>
      <c r="M526" s="6">
        <v>21117.58</v>
      </c>
      <c r="N526" s="6">
        <v>21145.88</v>
      </c>
      <c r="O526" s="6">
        <v>20968.490000000002</v>
      </c>
      <c r="P526" s="37">
        <v>446690</v>
      </c>
    </row>
    <row r="527" spans="2:16" ht="15" thickBot="1">
      <c r="B527" s="9">
        <f t="shared" si="53"/>
        <v>9</v>
      </c>
      <c r="C527" s="15">
        <f t="shared" si="48"/>
        <v>4</v>
      </c>
      <c r="D527" s="25">
        <f t="shared" si="49"/>
        <v>41893</v>
      </c>
      <c r="E527" s="16">
        <f t="shared" si="50"/>
        <v>4.4260722475761849E-3</v>
      </c>
      <c r="F527" s="17">
        <f t="shared" si="51"/>
        <v>-2.2894292698800722E-3</v>
      </c>
      <c r="G527" s="18">
        <f t="shared" si="52"/>
        <v>-6.7155015174562571E-3</v>
      </c>
      <c r="J527" s="28"/>
      <c r="K527" s="8">
        <v>41893</v>
      </c>
      <c r="L527" s="7">
        <v>21092.240000000002</v>
      </c>
      <c r="M527" s="6">
        <v>21234.21</v>
      </c>
      <c r="N527" s="6">
        <v>21238.26</v>
      </c>
      <c r="O527" s="6">
        <v>20939.41</v>
      </c>
      <c r="P527" s="37">
        <v>537160</v>
      </c>
    </row>
    <row r="528" spans="2:16" ht="15" thickBot="1">
      <c r="B528" s="9">
        <f t="shared" si="53"/>
        <v>8</v>
      </c>
      <c r="C528" s="15">
        <f t="shared" si="48"/>
        <v>3</v>
      </c>
      <c r="D528" s="25">
        <f t="shared" si="49"/>
        <v>41892</v>
      </c>
      <c r="E528" s="16">
        <f t="shared" si="50"/>
        <v>-1.6212919271104687E-3</v>
      </c>
      <c r="F528" s="17">
        <f t="shared" si="51"/>
        <v>-4.3310102223192981E-4</v>
      </c>
      <c r="G528" s="18">
        <f t="shared" si="52"/>
        <v>1.1881909048785388E-3</v>
      </c>
      <c r="J528" s="28"/>
      <c r="K528" s="8">
        <v>41892</v>
      </c>
      <c r="L528" s="7">
        <v>21140.639999999999</v>
      </c>
      <c r="M528" s="6">
        <v>21115.51</v>
      </c>
      <c r="N528" s="6">
        <v>21233.040000000001</v>
      </c>
      <c r="O528" s="6">
        <v>20967.59</v>
      </c>
      <c r="P528" s="37">
        <v>542210</v>
      </c>
    </row>
    <row r="529" spans="2:16" ht="15" thickBot="1">
      <c r="B529" s="9">
        <f t="shared" si="53"/>
        <v>7</v>
      </c>
      <c r="C529" s="15">
        <f t="shared" si="48"/>
        <v>2</v>
      </c>
      <c r="D529" s="25">
        <f t="shared" si="49"/>
        <v>41891</v>
      </c>
      <c r="E529" s="16">
        <f t="shared" si="50"/>
        <v>-6.7717524938559759E-4</v>
      </c>
      <c r="F529" s="17">
        <f t="shared" si="51"/>
        <v>-6.787719177960061E-3</v>
      </c>
      <c r="G529" s="18">
        <f t="shared" si="52"/>
        <v>-6.1105439285744634E-3</v>
      </c>
      <c r="J529" s="28"/>
      <c r="K529" s="8">
        <v>41891</v>
      </c>
      <c r="L529" s="7">
        <v>21149.8</v>
      </c>
      <c r="M529" s="6">
        <v>21279.919999999998</v>
      </c>
      <c r="N529" s="6">
        <v>21391.279999999999</v>
      </c>
      <c r="O529" s="6">
        <v>21122.87</v>
      </c>
      <c r="P529" s="37">
        <v>640490</v>
      </c>
    </row>
    <row r="530" spans="2:16" ht="15" thickBot="1">
      <c r="B530" s="9">
        <f t="shared" si="53"/>
        <v>6</v>
      </c>
      <c r="C530" s="15">
        <f t="shared" si="48"/>
        <v>1</v>
      </c>
      <c r="D530" s="25">
        <f t="shared" si="49"/>
        <v>41890</v>
      </c>
      <c r="E530" s="16">
        <f t="shared" si="50"/>
        <v>1.2521541117065382E-3</v>
      </c>
      <c r="F530" s="17">
        <f t="shared" si="51"/>
        <v>-4.7108851406839625E-3</v>
      </c>
      <c r="G530" s="18">
        <f t="shared" si="52"/>
        <v>-5.9630392523905007E-3</v>
      </c>
      <c r="J530" s="28"/>
      <c r="K530" s="8">
        <v>41890</v>
      </c>
      <c r="L530" s="7">
        <v>21294.34</v>
      </c>
      <c r="M530" s="6">
        <v>21421.919999999998</v>
      </c>
      <c r="N530" s="6">
        <v>21481.89</v>
      </c>
      <c r="O530" s="6">
        <v>21247.69</v>
      </c>
      <c r="P530" s="37">
        <v>501640</v>
      </c>
    </row>
    <row r="531" spans="2:16" ht="15" thickBot="1">
      <c r="B531" s="9">
        <f t="shared" si="53"/>
        <v>5</v>
      </c>
      <c r="C531" s="15">
        <f t="shared" si="48"/>
        <v>5</v>
      </c>
      <c r="D531" s="25">
        <f t="shared" si="49"/>
        <v>41887</v>
      </c>
      <c r="E531" s="16">
        <f t="shared" si="50"/>
        <v>-2.1769994383593616E-3</v>
      </c>
      <c r="F531" s="17">
        <f t="shared" si="51"/>
        <v>-1.1326186226591206E-3</v>
      </c>
      <c r="G531" s="18">
        <f t="shared" si="52"/>
        <v>1.044380815700241E-3</v>
      </c>
      <c r="J531" s="28"/>
      <c r="K531" s="8">
        <v>41887</v>
      </c>
      <c r="L531" s="7">
        <v>21395.13</v>
      </c>
      <c r="M531" s="6">
        <v>21372.76</v>
      </c>
      <c r="N531" s="6">
        <v>21460.92</v>
      </c>
      <c r="O531" s="6">
        <v>21305.35</v>
      </c>
      <c r="P531" s="37">
        <v>755510</v>
      </c>
    </row>
    <row r="532" spans="2:16" ht="15" thickBot="1">
      <c r="B532" s="9">
        <f t="shared" si="53"/>
        <v>4</v>
      </c>
      <c r="C532" s="15">
        <f t="shared" si="48"/>
        <v>4</v>
      </c>
      <c r="D532" s="25">
        <f t="shared" si="49"/>
        <v>41886</v>
      </c>
      <c r="E532" s="16">
        <f t="shared" si="50"/>
        <v>-4.1613943191134428E-3</v>
      </c>
      <c r="F532" s="17">
        <f t="shared" si="51"/>
        <v>2.8198498845043884E-2</v>
      </c>
      <c r="G532" s="18">
        <f t="shared" si="52"/>
        <v>3.2359893164157327E-2</v>
      </c>
      <c r="J532" s="28"/>
      <c r="K532" s="8">
        <v>41886</v>
      </c>
      <c r="L532" s="5">
        <v>21419.39</v>
      </c>
      <c r="M532" s="6">
        <v>20745.27</v>
      </c>
      <c r="N532" s="6">
        <v>21435.64</v>
      </c>
      <c r="O532" s="6">
        <v>20685.25</v>
      </c>
      <c r="P532" s="37">
        <v>1130000</v>
      </c>
    </row>
    <row r="533" spans="2:16" ht="15" thickBot="1">
      <c r="B533" s="9">
        <f t="shared" si="53"/>
        <v>3</v>
      </c>
      <c r="C533" s="15">
        <f t="shared" si="48"/>
        <v>3</v>
      </c>
      <c r="D533" s="25">
        <f t="shared" si="49"/>
        <v>41885</v>
      </c>
      <c r="E533" s="16">
        <f t="shared" si="50"/>
        <v>5.1109541686800153E-3</v>
      </c>
      <c r="F533" s="17">
        <f t="shared" si="51"/>
        <v>1.8863089031354363E-2</v>
      </c>
      <c r="G533" s="18">
        <f t="shared" si="52"/>
        <v>1.3752134862674348E-2</v>
      </c>
      <c r="J533" s="28"/>
      <c r="K533" s="8">
        <v>41885</v>
      </c>
      <c r="L533" s="5">
        <v>20831.96</v>
      </c>
      <c r="M533" s="6">
        <v>20550.78</v>
      </c>
      <c r="N533" s="6">
        <v>20885.41</v>
      </c>
      <c r="O533" s="6">
        <v>20528.11</v>
      </c>
      <c r="P533" s="37">
        <v>671770</v>
      </c>
    </row>
    <row r="534" spans="2:16" ht="15" thickBot="1">
      <c r="B534" s="9">
        <f t="shared" si="53"/>
        <v>2</v>
      </c>
      <c r="C534" s="15">
        <f t="shared" si="48"/>
        <v>2</v>
      </c>
      <c r="D534" s="25">
        <f t="shared" si="49"/>
        <v>41884</v>
      </c>
      <c r="E534" s="16">
        <f t="shared" si="50"/>
        <v>2.8585682092416853E-3</v>
      </c>
      <c r="F534" s="17">
        <f t="shared" si="51"/>
        <v>4.9361417684687936E-3</v>
      </c>
      <c r="G534" s="18">
        <f t="shared" si="52"/>
        <v>2.0775735592271083E-3</v>
      </c>
      <c r="J534" s="28"/>
      <c r="K534" s="8">
        <v>41884</v>
      </c>
      <c r="L534" s="5">
        <v>20446.28</v>
      </c>
      <c r="M534" s="6">
        <v>20404.009999999998</v>
      </c>
      <c r="N534" s="6">
        <v>20616.37</v>
      </c>
      <c r="O534" s="6">
        <v>20398.04</v>
      </c>
      <c r="P534" s="37">
        <v>409460</v>
      </c>
    </row>
    <row r="535" spans="2:16" ht="15" thickBot="1">
      <c r="B535" s="19">
        <v>1</v>
      </c>
      <c r="C535" s="15">
        <f t="shared" si="48"/>
        <v>1</v>
      </c>
      <c r="D535" s="25">
        <f t="shared" si="49"/>
        <v>41883</v>
      </c>
      <c r="E535" s="16">
        <f t="shared" si="50"/>
        <v>3.1769409926118986E-3</v>
      </c>
      <c r="F535" s="17">
        <f t="shared" si="51"/>
        <v>-5.1167478138667288E-3</v>
      </c>
      <c r="G535" s="18">
        <f t="shared" si="52"/>
        <v>-8.2936888064786274E-3</v>
      </c>
      <c r="J535" s="28"/>
      <c r="K535" s="8">
        <v>41883</v>
      </c>
      <c r="L535" s="7">
        <v>20345.849999999999</v>
      </c>
      <c r="M535" s="6">
        <v>20515.46</v>
      </c>
      <c r="N535" s="6">
        <v>20536.25</v>
      </c>
      <c r="O535" s="6">
        <v>20267.3</v>
      </c>
      <c r="P535" s="37">
        <v>359730</v>
      </c>
    </row>
    <row r="536" spans="2:16" ht="15" thickBot="1">
      <c r="B536" s="9">
        <f t="shared" si="53"/>
        <v>20</v>
      </c>
      <c r="C536" s="15">
        <f t="shared" si="48"/>
        <v>5</v>
      </c>
      <c r="D536" s="25">
        <f t="shared" si="49"/>
        <v>41880</v>
      </c>
      <c r="E536" s="16">
        <f t="shared" si="50"/>
        <v>3.0573582831598944E-3</v>
      </c>
      <c r="F536" s="17">
        <f t="shared" si="51"/>
        <v>5.3782761887393171E-3</v>
      </c>
      <c r="G536" s="18">
        <f t="shared" si="52"/>
        <v>2.3209179055794227E-3</v>
      </c>
      <c r="J536" s="28"/>
      <c r="K536" s="8">
        <v>41880</v>
      </c>
      <c r="L536" s="5">
        <v>20450.490000000002</v>
      </c>
      <c r="M536" s="6">
        <v>20403.28</v>
      </c>
      <c r="N536" s="6">
        <v>20570.830000000002</v>
      </c>
      <c r="O536" s="6">
        <v>20240.36</v>
      </c>
      <c r="P536" s="37">
        <v>431530</v>
      </c>
    </row>
    <row r="537" spans="2:16" ht="15" thickBot="1">
      <c r="B537" s="9">
        <f t="shared" si="53"/>
        <v>19</v>
      </c>
      <c r="C537" s="15">
        <f t="shared" si="48"/>
        <v>4</v>
      </c>
      <c r="D537" s="25">
        <f t="shared" si="49"/>
        <v>41879</v>
      </c>
      <c r="E537" s="16">
        <f t="shared" si="50"/>
        <v>-4.3615753686579994E-3</v>
      </c>
      <c r="F537" s="17">
        <f t="shared" si="51"/>
        <v>-2.0326886973742853E-2</v>
      </c>
      <c r="G537" s="18">
        <f t="shared" si="52"/>
        <v>-1.5965311605084853E-2</v>
      </c>
      <c r="J537" s="28"/>
      <c r="K537" s="8">
        <v>41879</v>
      </c>
      <c r="L537" s="7">
        <v>20341.09</v>
      </c>
      <c r="M537" s="6">
        <v>20672.580000000002</v>
      </c>
      <c r="N537" s="6">
        <v>20748.62</v>
      </c>
      <c r="O537" s="6">
        <v>20313.62</v>
      </c>
      <c r="P537" s="37">
        <v>744530</v>
      </c>
    </row>
    <row r="538" spans="2:16" ht="15" thickBot="1">
      <c r="B538" s="9">
        <f t="shared" si="53"/>
        <v>18</v>
      </c>
      <c r="C538" s="15">
        <f t="shared" si="48"/>
        <v>3</v>
      </c>
      <c r="D538" s="25">
        <f t="shared" si="49"/>
        <v>41878</v>
      </c>
      <c r="E538" s="16">
        <f t="shared" si="50"/>
        <v>-8.6701534568733862E-4</v>
      </c>
      <c r="F538" s="17">
        <f t="shared" si="51"/>
        <v>5.6961455113306858E-3</v>
      </c>
      <c r="G538" s="18">
        <f t="shared" si="52"/>
        <v>6.5631608570180244E-3</v>
      </c>
      <c r="J538" s="28"/>
      <c r="K538" s="8">
        <v>41878</v>
      </c>
      <c r="L538" s="5">
        <v>20763.14</v>
      </c>
      <c r="M538" s="6">
        <v>20627.64</v>
      </c>
      <c r="N538" s="6">
        <v>20777.060000000001</v>
      </c>
      <c r="O538" s="6">
        <v>20577.5</v>
      </c>
      <c r="P538" s="37">
        <v>641020</v>
      </c>
    </row>
    <row r="539" spans="2:16" ht="15" thickBot="1">
      <c r="B539" s="9">
        <f t="shared" si="53"/>
        <v>17</v>
      </c>
      <c r="C539" s="15">
        <f t="shared" si="48"/>
        <v>2</v>
      </c>
      <c r="D539" s="25">
        <f t="shared" si="49"/>
        <v>41877</v>
      </c>
      <c r="E539" s="16">
        <f t="shared" si="50"/>
        <v>-1.6264719350156387E-3</v>
      </c>
      <c r="F539" s="17">
        <f t="shared" si="51"/>
        <v>1.3258641920473657E-2</v>
      </c>
      <c r="G539" s="18">
        <f t="shared" si="52"/>
        <v>1.4885113855489296E-2</v>
      </c>
      <c r="J539" s="28"/>
      <c r="K539" s="8">
        <v>41877</v>
      </c>
      <c r="L539" s="5">
        <v>20645.54</v>
      </c>
      <c r="M539" s="6">
        <v>20342.25</v>
      </c>
      <c r="N539" s="6">
        <v>20645.54</v>
      </c>
      <c r="O539" s="6">
        <v>20289.21</v>
      </c>
      <c r="P539" s="37">
        <v>564840</v>
      </c>
    </row>
    <row r="540" spans="2:16" ht="15" thickBot="1">
      <c r="B540" s="9">
        <f t="shared" si="53"/>
        <v>16</v>
      </c>
      <c r="C540" s="15">
        <f t="shared" si="48"/>
        <v>1</v>
      </c>
      <c r="D540" s="25">
        <f t="shared" si="49"/>
        <v>41876</v>
      </c>
      <c r="E540" s="16">
        <f t="shared" si="50"/>
        <v>9.9472938520874798E-3</v>
      </c>
      <c r="F540" s="17">
        <f t="shared" si="51"/>
        <v>2.296467814507297E-2</v>
      </c>
      <c r="G540" s="18">
        <f t="shared" si="52"/>
        <v>1.301738429298549E-2</v>
      </c>
      <c r="J540" s="28"/>
      <c r="K540" s="8">
        <v>41876</v>
      </c>
      <c r="L540" s="5">
        <v>20375.39</v>
      </c>
      <c r="M540" s="6">
        <v>20116.11</v>
      </c>
      <c r="N540" s="6">
        <v>20375.39</v>
      </c>
      <c r="O540" s="6">
        <v>20019.57</v>
      </c>
      <c r="P540" s="37">
        <v>445150</v>
      </c>
    </row>
    <row r="541" spans="2:16" ht="15" thickBot="1">
      <c r="B541" s="9">
        <f t="shared" si="53"/>
        <v>15</v>
      </c>
      <c r="C541" s="15">
        <f t="shared" si="48"/>
        <v>5</v>
      </c>
      <c r="D541" s="25">
        <f t="shared" si="49"/>
        <v>41873</v>
      </c>
      <c r="E541" s="16">
        <f t="shared" si="50"/>
        <v>-3.2577880323889641E-3</v>
      </c>
      <c r="F541" s="17">
        <f t="shared" si="51"/>
        <v>-4.6240700511880339E-3</v>
      </c>
      <c r="G541" s="18">
        <f t="shared" si="52"/>
        <v>-1.3662820187990699E-3</v>
      </c>
      <c r="J541" s="28"/>
      <c r="K541" s="8">
        <v>41873</v>
      </c>
      <c r="L541" s="7">
        <v>19917.98</v>
      </c>
      <c r="M541" s="6">
        <v>19945.32</v>
      </c>
      <c r="N541" s="6">
        <v>20035.77</v>
      </c>
      <c r="O541" s="6">
        <v>19804.36</v>
      </c>
      <c r="P541" s="37">
        <v>460540</v>
      </c>
    </row>
    <row r="542" spans="2:16" ht="15" thickBot="1">
      <c r="B542" s="9">
        <f t="shared" si="53"/>
        <v>14</v>
      </c>
      <c r="C542" s="15">
        <f t="shared" si="48"/>
        <v>4</v>
      </c>
      <c r="D542" s="25">
        <f t="shared" si="49"/>
        <v>41872</v>
      </c>
      <c r="E542" s="16">
        <f t="shared" si="50"/>
        <v>8.0128654690381218E-4</v>
      </c>
      <c r="F542" s="17">
        <f t="shared" si="51"/>
        <v>2.0633511119316994E-2</v>
      </c>
      <c r="G542" s="18">
        <f t="shared" si="52"/>
        <v>1.9832224572413182E-2</v>
      </c>
      <c r="J542" s="28"/>
      <c r="K542" s="8">
        <v>41872</v>
      </c>
      <c r="L542" s="5">
        <v>20010.509999999998</v>
      </c>
      <c r="M542" s="6">
        <v>19621.68</v>
      </c>
      <c r="N542" s="6">
        <v>20011.169999999998</v>
      </c>
      <c r="O542" s="6">
        <v>19574.53</v>
      </c>
      <c r="P542" s="37">
        <v>543150</v>
      </c>
    </row>
    <row r="543" spans="2:16" ht="15" thickBot="1">
      <c r="B543" s="9">
        <f t="shared" si="53"/>
        <v>13</v>
      </c>
      <c r="C543" s="15">
        <f t="shared" si="48"/>
        <v>3</v>
      </c>
      <c r="D543" s="25">
        <f t="shared" si="49"/>
        <v>41871</v>
      </c>
      <c r="E543" s="16">
        <f t="shared" si="50"/>
        <v>-2.6312882520538317E-3</v>
      </c>
      <c r="F543" s="17">
        <f t="shared" si="51"/>
        <v>-1.9547585389604327E-3</v>
      </c>
      <c r="G543" s="18">
        <f t="shared" si="52"/>
        <v>6.7652971309339893E-4</v>
      </c>
      <c r="J543" s="28"/>
      <c r="K543" s="8">
        <v>41871</v>
      </c>
      <c r="L543" s="7">
        <v>19605.97</v>
      </c>
      <c r="M543" s="6">
        <v>19592.68</v>
      </c>
      <c r="N543" s="6">
        <v>19683.68</v>
      </c>
      <c r="O543" s="6">
        <v>19527.330000000002</v>
      </c>
      <c r="P543" s="37">
        <v>339700</v>
      </c>
    </row>
    <row r="544" spans="2:16" ht="15" thickBot="1">
      <c r="B544" s="9">
        <f t="shared" si="53"/>
        <v>12</v>
      </c>
      <c r="C544" s="15">
        <f t="shared" si="48"/>
        <v>2</v>
      </c>
      <c r="D544" s="25">
        <f t="shared" si="49"/>
        <v>41870</v>
      </c>
      <c r="E544" s="16">
        <f t="shared" si="50"/>
        <v>2.5305627829059762E-3</v>
      </c>
      <c r="F544" s="17">
        <f t="shared" si="51"/>
        <v>2.275979001928885E-4</v>
      </c>
      <c r="G544" s="18">
        <f t="shared" si="52"/>
        <v>-2.3029648827130877E-3</v>
      </c>
      <c r="J544" s="28"/>
      <c r="K544" s="8">
        <v>41870</v>
      </c>
      <c r="L544" s="5">
        <v>19644.37</v>
      </c>
      <c r="M544" s="6">
        <v>19689.599999999999</v>
      </c>
      <c r="N544" s="6">
        <v>19707.52</v>
      </c>
      <c r="O544" s="6">
        <v>19528.310000000001</v>
      </c>
      <c r="P544" s="37">
        <v>426880</v>
      </c>
    </row>
    <row r="545" spans="2:16" ht="15" thickBot="1">
      <c r="B545" s="9">
        <f t="shared" si="53"/>
        <v>11</v>
      </c>
      <c r="C545" s="15">
        <f t="shared" si="48"/>
        <v>1</v>
      </c>
      <c r="D545" s="25">
        <f t="shared" si="49"/>
        <v>41869</v>
      </c>
      <c r="E545" s="16">
        <f t="shared" si="50"/>
        <v>5.4237573507671666E-3</v>
      </c>
      <c r="F545" s="17">
        <f t="shared" si="51"/>
        <v>8.1587355037946452E-3</v>
      </c>
      <c r="G545" s="18">
        <f t="shared" si="52"/>
        <v>2.7349781530274786E-3</v>
      </c>
      <c r="J545" s="28"/>
      <c r="K545" s="8">
        <v>41869</v>
      </c>
      <c r="L545" s="5">
        <v>19639.900000000001</v>
      </c>
      <c r="M545" s="6">
        <v>19586.62</v>
      </c>
      <c r="N545" s="6">
        <v>19834.2</v>
      </c>
      <c r="O545" s="6">
        <v>19560.59</v>
      </c>
      <c r="P545" s="37">
        <v>500630</v>
      </c>
    </row>
    <row r="546" spans="2:16" ht="15" thickBot="1">
      <c r="B546" s="9">
        <f t="shared" si="53"/>
        <v>10</v>
      </c>
      <c r="C546" s="15">
        <f t="shared" si="48"/>
        <v>4</v>
      </c>
      <c r="D546" s="25">
        <f t="shared" si="49"/>
        <v>41865</v>
      </c>
      <c r="E546" s="16">
        <f t="shared" si="50"/>
        <v>-5.6804280641195026E-3</v>
      </c>
      <c r="F546" s="17">
        <f t="shared" si="51"/>
        <v>-2.8816732745533535E-3</v>
      </c>
      <c r="G546" s="18">
        <f t="shared" si="52"/>
        <v>2.7987547895661491E-3</v>
      </c>
      <c r="J546" s="28"/>
      <c r="K546" s="8">
        <v>41865</v>
      </c>
      <c r="L546" s="7">
        <v>19480.96</v>
      </c>
      <c r="M546" s="6">
        <v>19426.28</v>
      </c>
      <c r="N546" s="6">
        <v>19665.45</v>
      </c>
      <c r="O546" s="6">
        <v>19264.46</v>
      </c>
      <c r="P546" s="37">
        <v>568820</v>
      </c>
    </row>
    <row r="547" spans="2:16" ht="15" thickBot="1">
      <c r="B547" s="9">
        <f t="shared" si="53"/>
        <v>9</v>
      </c>
      <c r="C547" s="15">
        <f t="shared" si="48"/>
        <v>3</v>
      </c>
      <c r="D547" s="25">
        <f t="shared" si="49"/>
        <v>41864</v>
      </c>
      <c r="E547" s="16">
        <f t="shared" si="50"/>
        <v>5.8183192849705634E-3</v>
      </c>
      <c r="F547" s="17">
        <f t="shared" si="51"/>
        <v>6.2318901786440062E-3</v>
      </c>
      <c r="G547" s="18">
        <f t="shared" si="52"/>
        <v>4.135708936734428E-4</v>
      </c>
      <c r="J547" s="28"/>
      <c r="K547" s="8">
        <v>41864</v>
      </c>
      <c r="L547" s="5">
        <v>19537.259999999998</v>
      </c>
      <c r="M547" s="6">
        <v>19529.23</v>
      </c>
      <c r="N547" s="6">
        <v>19602.849999999999</v>
      </c>
      <c r="O547" s="6">
        <v>19457.68</v>
      </c>
      <c r="P547" s="37">
        <v>472730</v>
      </c>
    </row>
    <row r="548" spans="2:16" ht="15" thickBot="1">
      <c r="B548" s="9">
        <f t="shared" si="53"/>
        <v>8</v>
      </c>
      <c r="C548" s="15">
        <f t="shared" si="48"/>
        <v>2</v>
      </c>
      <c r="D548" s="25">
        <f t="shared" si="49"/>
        <v>41863</v>
      </c>
      <c r="E548" s="16">
        <f t="shared" si="50"/>
        <v>-2.5086494966514161E-3</v>
      </c>
      <c r="F548" s="17">
        <f t="shared" si="51"/>
        <v>-2.2820385937379895E-3</v>
      </c>
      <c r="G548" s="18">
        <f t="shared" si="52"/>
        <v>2.2661090291342667E-4</v>
      </c>
      <c r="J548" s="28"/>
      <c r="K548" s="8">
        <v>41863</v>
      </c>
      <c r="L548" s="7">
        <v>19416.259999999998</v>
      </c>
      <c r="M548" s="6">
        <v>19411.849999999999</v>
      </c>
      <c r="N548" s="6">
        <v>19648.63</v>
      </c>
      <c r="O548" s="6">
        <v>19335.900000000001</v>
      </c>
      <c r="P548" s="37">
        <v>578530</v>
      </c>
    </row>
    <row r="549" spans="2:16" ht="15" thickBot="1">
      <c r="B549" s="9">
        <f t="shared" si="53"/>
        <v>7</v>
      </c>
      <c r="C549" s="15">
        <f t="shared" si="48"/>
        <v>1</v>
      </c>
      <c r="D549" s="25">
        <f t="shared" si="49"/>
        <v>41862</v>
      </c>
      <c r="E549" s="16">
        <f t="shared" si="50"/>
        <v>1.1416897821551864E-2</v>
      </c>
      <c r="F549" s="17">
        <f t="shared" si="51"/>
        <v>1.39208731298337E-2</v>
      </c>
      <c r="G549" s="18">
        <f t="shared" si="52"/>
        <v>2.5039753082818361E-3</v>
      </c>
      <c r="J549" s="28"/>
      <c r="K549" s="8">
        <v>41862</v>
      </c>
      <c r="L549" s="5">
        <v>19460.669999999998</v>
      </c>
      <c r="M549" s="6">
        <v>19412.61</v>
      </c>
      <c r="N549" s="6">
        <v>19499.13</v>
      </c>
      <c r="O549" s="6">
        <v>19228.45</v>
      </c>
      <c r="P549" s="37">
        <v>558450</v>
      </c>
    </row>
    <row r="550" spans="2:16" ht="15" thickBot="1">
      <c r="B550" s="9">
        <f t="shared" si="53"/>
        <v>6</v>
      </c>
      <c r="C550" s="15">
        <f t="shared" si="48"/>
        <v>5</v>
      </c>
      <c r="D550" s="25">
        <f t="shared" si="49"/>
        <v>41859</v>
      </c>
      <c r="E550" s="16">
        <f t="shared" si="50"/>
        <v>-1.1164806214111866E-2</v>
      </c>
      <c r="F550" s="17">
        <f t="shared" si="51"/>
        <v>3.28425850663705E-3</v>
      </c>
      <c r="G550" s="18">
        <f t="shared" si="52"/>
        <v>1.4449064720748916E-2</v>
      </c>
      <c r="J550" s="28"/>
      <c r="K550" s="8">
        <v>41859</v>
      </c>
      <c r="L550" s="5">
        <v>19193.48</v>
      </c>
      <c r="M550" s="6">
        <v>18917.060000000001</v>
      </c>
      <c r="N550" s="6">
        <v>19434.96</v>
      </c>
      <c r="O550" s="6">
        <v>18885.580000000002</v>
      </c>
      <c r="P550" s="37">
        <v>1010000</v>
      </c>
    </row>
    <row r="551" spans="2:16" ht="15" thickBot="1">
      <c r="B551" s="9">
        <f t="shared" si="53"/>
        <v>5</v>
      </c>
      <c r="C551" s="15">
        <f t="shared" si="48"/>
        <v>4</v>
      </c>
      <c r="D551" s="25">
        <f t="shared" si="49"/>
        <v>41858</v>
      </c>
      <c r="E551" s="16">
        <f t="shared" si="50"/>
        <v>-9.2209879732496614E-4</v>
      </c>
      <c r="F551" s="17">
        <f t="shared" si="51"/>
        <v>-1.9435833405091918E-2</v>
      </c>
      <c r="G551" s="18">
        <f t="shared" si="52"/>
        <v>-1.8513734607766952E-2</v>
      </c>
      <c r="J551" s="28"/>
      <c r="K551" s="8">
        <v>41858</v>
      </c>
      <c r="L551" s="7">
        <v>19130.650000000001</v>
      </c>
      <c r="M551" s="6">
        <v>19491.849999999999</v>
      </c>
      <c r="N551" s="6">
        <v>19685.45</v>
      </c>
      <c r="O551" s="6">
        <v>19064.25</v>
      </c>
      <c r="P551" s="37">
        <v>958930</v>
      </c>
    </row>
    <row r="552" spans="2:16" ht="15" thickBot="1">
      <c r="B552" s="9">
        <f t="shared" si="53"/>
        <v>4</v>
      </c>
      <c r="C552" s="15">
        <f t="shared" si="48"/>
        <v>3</v>
      </c>
      <c r="D552" s="25">
        <f t="shared" si="49"/>
        <v>41857</v>
      </c>
      <c r="E552" s="16">
        <f t="shared" si="50"/>
        <v>-8.7307128394888966E-3</v>
      </c>
      <c r="F552" s="17">
        <f t="shared" si="51"/>
        <v>-2.7047406269636309E-2</v>
      </c>
      <c r="G552" s="18">
        <f t="shared" si="52"/>
        <v>-1.8316693430147413E-2</v>
      </c>
      <c r="J552" s="28"/>
      <c r="K552" s="8">
        <v>41857</v>
      </c>
      <c r="L552" s="7">
        <v>19509.84</v>
      </c>
      <c r="M552" s="6">
        <v>19877.13</v>
      </c>
      <c r="N552" s="6">
        <v>20003.93</v>
      </c>
      <c r="O552" s="6">
        <v>19376.93</v>
      </c>
      <c r="P552" s="37">
        <v>984980</v>
      </c>
    </row>
    <row r="553" spans="2:16" ht="15" thickBot="1">
      <c r="B553" s="9">
        <f t="shared" si="53"/>
        <v>3</v>
      </c>
      <c r="C553" s="15">
        <f t="shared" si="48"/>
        <v>2</v>
      </c>
      <c r="D553" s="25">
        <f t="shared" si="49"/>
        <v>41856</v>
      </c>
      <c r="E553" s="16">
        <f t="shared" si="50"/>
        <v>4.1057062349525442E-3</v>
      </c>
      <c r="F553" s="17">
        <f t="shared" si="51"/>
        <v>-1.6151498990009894E-2</v>
      </c>
      <c r="G553" s="18">
        <f t="shared" si="52"/>
        <v>-2.0257205224962438E-2</v>
      </c>
      <c r="J553" s="28"/>
      <c r="K553" s="8">
        <v>41856</v>
      </c>
      <c r="L553" s="7">
        <v>20052.2</v>
      </c>
      <c r="M553" s="6">
        <v>20465.07</v>
      </c>
      <c r="N553" s="6">
        <v>20511.75</v>
      </c>
      <c r="O553" s="6">
        <v>19984.88</v>
      </c>
      <c r="P553" s="37">
        <v>836150</v>
      </c>
    </row>
    <row r="554" spans="2:16" ht="15" thickBot="1">
      <c r="B554" s="9">
        <f t="shared" si="53"/>
        <v>2</v>
      </c>
      <c r="C554" s="15">
        <f t="shared" si="48"/>
        <v>1</v>
      </c>
      <c r="D554" s="25">
        <f t="shared" si="49"/>
        <v>41855</v>
      </c>
      <c r="E554" s="16">
        <f t="shared" si="50"/>
        <v>7.0600680371331048E-3</v>
      </c>
      <c r="F554" s="17">
        <f t="shared" si="51"/>
        <v>9.3210970607104926E-4</v>
      </c>
      <c r="G554" s="18">
        <f t="shared" si="52"/>
        <v>-6.1279583310620556E-3</v>
      </c>
      <c r="J554" s="28"/>
      <c r="K554" s="8">
        <v>41855</v>
      </c>
      <c r="L554" s="5">
        <v>20381.39</v>
      </c>
      <c r="M554" s="6">
        <v>20506.169999999998</v>
      </c>
      <c r="N554" s="6">
        <v>20553.61</v>
      </c>
      <c r="O554" s="6">
        <v>20324.21</v>
      </c>
      <c r="P554" s="37">
        <v>464520</v>
      </c>
    </row>
    <row r="555" spans="2:16" ht="15" thickBot="1">
      <c r="B555" s="19">
        <v>1</v>
      </c>
      <c r="C555" s="15">
        <f t="shared" si="48"/>
        <v>5</v>
      </c>
      <c r="D555" s="25">
        <f t="shared" si="49"/>
        <v>41852</v>
      </c>
      <c r="E555" s="16">
        <f t="shared" si="50"/>
        <v>-1.1112839558986565E-3</v>
      </c>
      <c r="F555" s="17">
        <f t="shared" si="51"/>
        <v>-1.0130378983802202E-2</v>
      </c>
      <c r="G555" s="18">
        <f t="shared" si="52"/>
        <v>-9.0190950279035453E-3</v>
      </c>
      <c r="J555" s="28"/>
      <c r="K555" s="8">
        <v>41852</v>
      </c>
      <c r="L555" s="7">
        <v>20362.41</v>
      </c>
      <c r="M555" s="6">
        <v>20547.939999999999</v>
      </c>
      <c r="N555" s="6">
        <v>20671.38</v>
      </c>
      <c r="O555" s="6">
        <v>20272.240000000002</v>
      </c>
      <c r="P555" s="37">
        <v>698770</v>
      </c>
    </row>
    <row r="556" spans="2:16" ht="15" thickBot="1">
      <c r="B556" s="9">
        <f t="shared" si="53"/>
        <v>23</v>
      </c>
      <c r="C556" s="15">
        <f t="shared" si="48"/>
        <v>4</v>
      </c>
      <c r="D556" s="25">
        <f t="shared" si="49"/>
        <v>41851</v>
      </c>
      <c r="E556" s="16">
        <f t="shared" si="50"/>
        <v>1.9672024408821098E-3</v>
      </c>
      <c r="F556" s="17">
        <f t="shared" si="51"/>
        <v>-1.5163592823086325E-2</v>
      </c>
      <c r="G556" s="18">
        <f t="shared" si="52"/>
        <v>-1.7130795263968435E-2</v>
      </c>
      <c r="J556" s="28"/>
      <c r="K556" s="8">
        <v>41851</v>
      </c>
      <c r="L556" s="7">
        <v>20570.8</v>
      </c>
      <c r="M556" s="6">
        <v>20928.62</v>
      </c>
      <c r="N556" s="6">
        <v>20977.32</v>
      </c>
      <c r="O556" s="6">
        <v>20480.36</v>
      </c>
      <c r="P556" s="37">
        <v>696750</v>
      </c>
    </row>
    <row r="557" spans="2:16" ht="15" thickBot="1">
      <c r="B557" s="9">
        <f t="shared" si="53"/>
        <v>22</v>
      </c>
      <c r="C557" s="15">
        <f t="shared" si="48"/>
        <v>3</v>
      </c>
      <c r="D557" s="25">
        <f t="shared" si="49"/>
        <v>41850</v>
      </c>
      <c r="E557" s="16">
        <f t="shared" si="50"/>
        <v>-9.9169461686721139E-4</v>
      </c>
      <c r="F557" s="17">
        <f t="shared" si="51"/>
        <v>-9.3710635746915294E-3</v>
      </c>
      <c r="G557" s="18">
        <f t="shared" si="52"/>
        <v>-8.379368957824318E-3</v>
      </c>
      <c r="J557" s="28"/>
      <c r="K557" s="8">
        <v>41850</v>
      </c>
      <c r="L557" s="7">
        <v>20887.53</v>
      </c>
      <c r="M557" s="6">
        <v>21064.21</v>
      </c>
      <c r="N557" s="6">
        <v>21152.04</v>
      </c>
      <c r="O557" s="6">
        <v>20870.12</v>
      </c>
      <c r="P557" s="37">
        <v>465880</v>
      </c>
    </row>
    <row r="558" spans="2:16" ht="15" thickBot="1">
      <c r="B558" s="9">
        <f t="shared" si="53"/>
        <v>21</v>
      </c>
      <c r="C558" s="15">
        <f t="shared" si="48"/>
        <v>2</v>
      </c>
      <c r="D558" s="25">
        <f t="shared" si="49"/>
        <v>41849</v>
      </c>
      <c r="E558" s="16">
        <f t="shared" si="50"/>
        <v>3.6472471569906073E-3</v>
      </c>
      <c r="F558" s="17">
        <f t="shared" si="51"/>
        <v>6.9745184602187926E-3</v>
      </c>
      <c r="G558" s="18">
        <f t="shared" si="52"/>
        <v>3.3272713032281853E-3</v>
      </c>
      <c r="J558" s="28"/>
      <c r="K558" s="8">
        <v>41849</v>
      </c>
      <c r="L558" s="5">
        <v>21085.119999999999</v>
      </c>
      <c r="M558" s="6">
        <v>21015.45</v>
      </c>
      <c r="N558" s="6">
        <v>21224.07</v>
      </c>
      <c r="O558" s="6">
        <v>20879.22</v>
      </c>
      <c r="P558" s="37">
        <v>434650</v>
      </c>
    </row>
    <row r="559" spans="2:16" ht="15" thickBot="1">
      <c r="B559" s="9">
        <f t="shared" si="53"/>
        <v>20</v>
      </c>
      <c r="C559" s="15">
        <f t="shared" si="48"/>
        <v>1</v>
      </c>
      <c r="D559" s="25">
        <f t="shared" si="49"/>
        <v>41848</v>
      </c>
      <c r="E559" s="16">
        <f t="shared" si="50"/>
        <v>4.698216946908973E-3</v>
      </c>
      <c r="F559" s="17">
        <f t="shared" si="51"/>
        <v>-5.8979334207206469E-3</v>
      </c>
      <c r="G559" s="18">
        <f t="shared" si="52"/>
        <v>-1.059615036762962E-2</v>
      </c>
      <c r="J559" s="28"/>
      <c r="K559" s="8">
        <v>41848</v>
      </c>
      <c r="L559" s="7">
        <v>20939.080000000002</v>
      </c>
      <c r="M559" s="6">
        <v>21162.27</v>
      </c>
      <c r="N559" s="6">
        <v>21236.58</v>
      </c>
      <c r="O559" s="6">
        <v>20831.8</v>
      </c>
      <c r="P559" s="37">
        <v>419790</v>
      </c>
    </row>
    <row r="560" spans="2:16" ht="15" thickBot="1">
      <c r="B560" s="9">
        <f t="shared" si="53"/>
        <v>19</v>
      </c>
      <c r="C560" s="15">
        <f t="shared" si="48"/>
        <v>5</v>
      </c>
      <c r="D560" s="25">
        <f t="shared" si="49"/>
        <v>41845</v>
      </c>
      <c r="E560" s="16">
        <f t="shared" si="50"/>
        <v>-3.0123826191685854E-3</v>
      </c>
      <c r="F560" s="17">
        <f t="shared" si="51"/>
        <v>-9.0465571425881741E-3</v>
      </c>
      <c r="G560" s="18">
        <f t="shared" si="52"/>
        <v>-6.0341745234195887E-3</v>
      </c>
      <c r="J560" s="28"/>
      <c r="K560" s="8">
        <v>41845</v>
      </c>
      <c r="L560" s="7">
        <v>21063.31</v>
      </c>
      <c r="M560" s="6">
        <v>21191.57</v>
      </c>
      <c r="N560" s="6">
        <v>21348.11</v>
      </c>
      <c r="O560" s="6">
        <v>21021.73</v>
      </c>
      <c r="P560" s="37">
        <v>582850</v>
      </c>
    </row>
    <row r="561" spans="2:16" ht="15" thickBot="1">
      <c r="B561" s="9">
        <f t="shared" si="53"/>
        <v>18</v>
      </c>
      <c r="C561" s="15">
        <f t="shared" si="48"/>
        <v>4</v>
      </c>
      <c r="D561" s="25">
        <f t="shared" si="49"/>
        <v>41844</v>
      </c>
      <c r="E561" s="16">
        <f t="shared" si="50"/>
        <v>1.1713165694251515E-3</v>
      </c>
      <c r="F561" s="17">
        <f t="shared" si="51"/>
        <v>2.0370347256958965E-2</v>
      </c>
      <c r="G561" s="18">
        <f t="shared" si="52"/>
        <v>1.9199030687533813E-2</v>
      </c>
      <c r="J561" s="28"/>
      <c r="K561" s="8">
        <v>41844</v>
      </c>
      <c r="L561" s="5">
        <v>21255.599999999999</v>
      </c>
      <c r="M561" s="6">
        <v>20855.66</v>
      </c>
      <c r="N561" s="6">
        <v>21255.599999999999</v>
      </c>
      <c r="O561" s="6">
        <v>20694.349999999999</v>
      </c>
      <c r="P561" s="37">
        <v>678950</v>
      </c>
    </row>
    <row r="562" spans="2:16" ht="15" thickBot="1">
      <c r="B562" s="9">
        <f t="shared" si="53"/>
        <v>17</v>
      </c>
      <c r="C562" s="15">
        <f t="shared" si="48"/>
        <v>3</v>
      </c>
      <c r="D562" s="25">
        <f t="shared" si="49"/>
        <v>41843</v>
      </c>
      <c r="E562" s="16">
        <f t="shared" si="50"/>
        <v>-4.8204661412795113E-3</v>
      </c>
      <c r="F562" s="17">
        <f t="shared" si="51"/>
        <v>-2.023618463602217E-3</v>
      </c>
      <c r="G562" s="18">
        <f t="shared" si="52"/>
        <v>2.7968476776772944E-3</v>
      </c>
      <c r="J562" s="28"/>
      <c r="K562" s="8">
        <v>41843</v>
      </c>
      <c r="L562" s="7">
        <v>20831.259999999998</v>
      </c>
      <c r="M562" s="6">
        <v>20772.88</v>
      </c>
      <c r="N562" s="6">
        <v>20988.97</v>
      </c>
      <c r="O562" s="6">
        <v>20707.59</v>
      </c>
      <c r="P562" s="37">
        <v>483240</v>
      </c>
    </row>
    <row r="563" spans="2:16" ht="15" thickBot="1">
      <c r="B563" s="9">
        <f t="shared" si="53"/>
        <v>16</v>
      </c>
      <c r="C563" s="15">
        <f t="shared" si="48"/>
        <v>2</v>
      </c>
      <c r="D563" s="25">
        <f t="shared" si="49"/>
        <v>41842</v>
      </c>
      <c r="E563" s="16">
        <f t="shared" si="50"/>
        <v>6.3711382591329357E-3</v>
      </c>
      <c r="F563" s="17">
        <f t="shared" si="51"/>
        <v>2.1648263440228632E-2</v>
      </c>
      <c r="G563" s="18">
        <f t="shared" si="52"/>
        <v>1.5277125181095697E-2</v>
      </c>
      <c r="J563" s="28"/>
      <c r="K563" s="8">
        <v>41842</v>
      </c>
      <c r="L563" s="5">
        <v>20873.5</v>
      </c>
      <c r="M563" s="6">
        <v>20561.37</v>
      </c>
      <c r="N563" s="6">
        <v>20885.5</v>
      </c>
      <c r="O563" s="6">
        <v>20521.38</v>
      </c>
      <c r="P563" s="37">
        <v>474510</v>
      </c>
    </row>
    <row r="564" spans="2:16" ht="15" thickBot="1">
      <c r="B564" s="9">
        <f t="shared" si="53"/>
        <v>15</v>
      </c>
      <c r="C564" s="15">
        <f t="shared" si="48"/>
        <v>1</v>
      </c>
      <c r="D564" s="25">
        <f t="shared" si="49"/>
        <v>41841</v>
      </c>
      <c r="E564" s="16">
        <f t="shared" si="50"/>
        <v>7.0308702462074102E-4</v>
      </c>
      <c r="F564" s="17">
        <f t="shared" si="51"/>
        <v>-1.475228961398678E-2</v>
      </c>
      <c r="G564" s="18">
        <f t="shared" si="52"/>
        <v>-1.5455376638607521E-2</v>
      </c>
      <c r="J564" s="28"/>
      <c r="K564" s="8">
        <v>41841</v>
      </c>
      <c r="L564" s="7">
        <v>20431.2</v>
      </c>
      <c r="M564" s="6">
        <v>20751.7</v>
      </c>
      <c r="N564" s="6">
        <v>20761.009999999998</v>
      </c>
      <c r="O564" s="6">
        <v>20391.52</v>
      </c>
      <c r="P564" s="37">
        <v>487100</v>
      </c>
    </row>
    <row r="565" spans="2:16" ht="15" thickBot="1">
      <c r="B565" s="9">
        <f t="shared" si="53"/>
        <v>14</v>
      </c>
      <c r="C565" s="15">
        <f t="shared" si="48"/>
        <v>5</v>
      </c>
      <c r="D565" s="25">
        <f t="shared" si="49"/>
        <v>41838</v>
      </c>
      <c r="E565" s="16">
        <f t="shared" si="50"/>
        <v>-5.272458913115341E-3</v>
      </c>
      <c r="F565" s="17">
        <f t="shared" si="51"/>
        <v>6.4955645433324438E-3</v>
      </c>
      <c r="G565" s="18">
        <f t="shared" si="52"/>
        <v>1.1768023456447785E-2</v>
      </c>
      <c r="J565" s="28"/>
      <c r="K565" s="8">
        <v>41838</v>
      </c>
      <c r="L565" s="5">
        <v>20737.12</v>
      </c>
      <c r="M565" s="6">
        <v>20494.66</v>
      </c>
      <c r="N565" s="6">
        <v>20737.12</v>
      </c>
      <c r="O565" s="6">
        <v>20448.990000000002</v>
      </c>
      <c r="P565" s="37">
        <v>546080</v>
      </c>
    </row>
    <row r="566" spans="2:16" ht="15" thickBot="1">
      <c r="B566" s="9">
        <f t="shared" si="53"/>
        <v>13</v>
      </c>
      <c r="C566" s="15">
        <f t="shared" si="48"/>
        <v>4</v>
      </c>
      <c r="D566" s="25">
        <f t="shared" si="49"/>
        <v>41837</v>
      </c>
      <c r="E566" s="16">
        <f t="shared" si="50"/>
        <v>-5.18178241354883E-3</v>
      </c>
      <c r="F566" s="17">
        <f t="shared" si="51"/>
        <v>-2.2149058589072568E-2</v>
      </c>
      <c r="G566" s="18">
        <f t="shared" si="52"/>
        <v>-1.6967276175523738E-2</v>
      </c>
      <c r="J566" s="28"/>
      <c r="K566" s="8">
        <v>41837</v>
      </c>
      <c r="L566" s="7">
        <v>20603.29</v>
      </c>
      <c r="M566" s="6">
        <v>20960.79</v>
      </c>
      <c r="N566" s="6">
        <v>20971.05</v>
      </c>
      <c r="O566" s="6">
        <v>20603.29</v>
      </c>
      <c r="P566" s="37">
        <v>730120</v>
      </c>
    </row>
    <row r="567" spans="2:16" ht="15" thickBot="1">
      <c r="B567" s="9">
        <f t="shared" si="53"/>
        <v>12</v>
      </c>
      <c r="C567" s="15">
        <f t="shared" si="48"/>
        <v>3</v>
      </c>
      <c r="D567" s="25">
        <f t="shared" si="49"/>
        <v>41836</v>
      </c>
      <c r="E567" s="16">
        <f t="shared" si="50"/>
        <v>5.148129922464717E-3</v>
      </c>
      <c r="F567" s="17">
        <f t="shared" si="51"/>
        <v>3.16810255129647E-2</v>
      </c>
      <c r="G567" s="18">
        <f t="shared" si="52"/>
        <v>2.6532895590499983E-2</v>
      </c>
      <c r="J567" s="28"/>
      <c r="K567" s="8">
        <v>41836</v>
      </c>
      <c r="L567" s="5">
        <v>21069.97</v>
      </c>
      <c r="M567" s="6">
        <v>20528.09</v>
      </c>
      <c r="N567" s="6">
        <v>21069.97</v>
      </c>
      <c r="O567" s="6">
        <v>20504.150000000001</v>
      </c>
      <c r="P567" s="37">
        <v>795510</v>
      </c>
    </row>
    <row r="568" spans="2:16" ht="15" thickBot="1">
      <c r="B568" s="9">
        <f t="shared" si="53"/>
        <v>11</v>
      </c>
      <c r="C568" s="15">
        <f t="shared" si="48"/>
        <v>2</v>
      </c>
      <c r="D568" s="25">
        <f t="shared" si="49"/>
        <v>41835</v>
      </c>
      <c r="E568" s="16">
        <f t="shared" si="50"/>
        <v>-3.1042336432252071E-3</v>
      </c>
      <c r="F568" s="17">
        <f t="shared" si="51"/>
        <v>-1.3266794024797135E-2</v>
      </c>
      <c r="G568" s="18">
        <f t="shared" si="52"/>
        <v>-1.0162560381571928E-2</v>
      </c>
      <c r="J568" s="28"/>
      <c r="K568" s="8">
        <v>41835</v>
      </c>
      <c r="L568" s="7">
        <v>20422.95</v>
      </c>
      <c r="M568" s="6">
        <v>20633.29</v>
      </c>
      <c r="N568" s="6">
        <v>20714.02</v>
      </c>
      <c r="O568" s="6">
        <v>20351.689999999999</v>
      </c>
      <c r="P568" s="37">
        <v>677970</v>
      </c>
    </row>
    <row r="569" spans="2:16" ht="15" thickBot="1">
      <c r="B569" s="9">
        <f t="shared" si="53"/>
        <v>10</v>
      </c>
      <c r="C569" s="15">
        <f t="shared" si="48"/>
        <v>1</v>
      </c>
      <c r="D569" s="25">
        <f t="shared" si="49"/>
        <v>41834</v>
      </c>
      <c r="E569" s="16">
        <f t="shared" si="50"/>
        <v>5.3000602478017189E-3</v>
      </c>
      <c r="F569" s="17">
        <f t="shared" si="51"/>
        <v>4.0106990782378116E-3</v>
      </c>
      <c r="G569" s="18">
        <f t="shared" si="52"/>
        <v>-1.2893611695639073E-3</v>
      </c>
      <c r="J569" s="28"/>
      <c r="K569" s="8">
        <v>41834</v>
      </c>
      <c r="L569" s="5">
        <v>20697.54</v>
      </c>
      <c r="M569" s="6">
        <v>20724.12</v>
      </c>
      <c r="N569" s="6">
        <v>20829.89</v>
      </c>
      <c r="O569" s="6">
        <v>20504.43</v>
      </c>
      <c r="P569" s="37">
        <v>606950</v>
      </c>
    </row>
    <row r="570" spans="2:16" ht="15" thickBot="1">
      <c r="B570" s="9">
        <f t="shared" si="53"/>
        <v>9</v>
      </c>
      <c r="C570" s="15">
        <f t="shared" si="48"/>
        <v>5</v>
      </c>
      <c r="D570" s="25">
        <f t="shared" si="49"/>
        <v>41831</v>
      </c>
      <c r="E570" s="16">
        <f t="shared" si="50"/>
        <v>2.5755597584040668E-3</v>
      </c>
      <c r="F570" s="17">
        <f t="shared" si="51"/>
        <v>6.1550851076810353E-3</v>
      </c>
      <c r="G570" s="18">
        <f t="shared" si="52"/>
        <v>3.5795253492769685E-3</v>
      </c>
      <c r="J570" s="28"/>
      <c r="K570" s="8">
        <v>41831</v>
      </c>
      <c r="L570" s="5">
        <v>20614.86</v>
      </c>
      <c r="M570" s="6">
        <v>20541.52</v>
      </c>
      <c r="N570" s="6">
        <v>20833.93</v>
      </c>
      <c r="O570" s="6">
        <v>20459.09</v>
      </c>
      <c r="P570" s="37">
        <v>675210</v>
      </c>
    </row>
    <row r="571" spans="2:16" ht="15" thickBot="1">
      <c r="B571" s="9">
        <f t="shared" si="53"/>
        <v>8</v>
      </c>
      <c r="C571" s="15">
        <f t="shared" si="48"/>
        <v>4</v>
      </c>
      <c r="D571" s="25">
        <f t="shared" si="49"/>
        <v>41830</v>
      </c>
      <c r="E571" s="16">
        <f t="shared" si="50"/>
        <v>-3.863950633362645E-4</v>
      </c>
      <c r="F571" s="17">
        <f t="shared" si="51"/>
        <v>-1.8989857009886424E-2</v>
      </c>
      <c r="G571" s="18">
        <f t="shared" si="52"/>
        <v>-1.8603461946550159E-2</v>
      </c>
      <c r="J571" s="28"/>
      <c r="K571" s="8">
        <v>41830</v>
      </c>
      <c r="L571" s="7">
        <v>20488.75</v>
      </c>
      <c r="M571" s="6">
        <v>20877.29</v>
      </c>
      <c r="N571" s="6">
        <v>20877.36</v>
      </c>
      <c r="O571" s="6">
        <v>20283.38</v>
      </c>
      <c r="P571" s="37">
        <v>981110</v>
      </c>
    </row>
    <row r="572" spans="2:16" ht="15" thickBot="1">
      <c r="B572" s="9">
        <f t="shared" si="53"/>
        <v>7</v>
      </c>
      <c r="C572" s="15">
        <f t="shared" ref="C572:C635" si="54">WEEKDAY(D572,2)</f>
        <v>3</v>
      </c>
      <c r="D572" s="25">
        <f t="shared" ref="D572:D635" si="55">K572</f>
        <v>41829</v>
      </c>
      <c r="E572" s="16">
        <f t="shared" ref="E572:E635" si="56">M572/L573-1</f>
        <v>4.4998847855586277E-3</v>
      </c>
      <c r="F572" s="17">
        <f t="shared" ref="F572:F635" si="57">L572/L573-1</f>
        <v>8.9287568965625841E-3</v>
      </c>
      <c r="G572" s="18">
        <f t="shared" ref="G572:G635" si="58">F572-E572</f>
        <v>4.4288721110039564E-3</v>
      </c>
      <c r="J572" s="28"/>
      <c r="K572" s="8">
        <v>41829</v>
      </c>
      <c r="L572" s="5">
        <v>20885.36</v>
      </c>
      <c r="M572" s="6">
        <v>20793.68</v>
      </c>
      <c r="N572" s="6">
        <v>20945.53</v>
      </c>
      <c r="O572" s="6">
        <v>20747.650000000001</v>
      </c>
      <c r="P572" s="37">
        <v>637770</v>
      </c>
    </row>
    <row r="573" spans="2:16" ht="15" thickBot="1">
      <c r="B573" s="9">
        <f t="shared" si="53"/>
        <v>6</v>
      </c>
      <c r="C573" s="15">
        <f t="shared" si="54"/>
        <v>2</v>
      </c>
      <c r="D573" s="25">
        <f t="shared" si="55"/>
        <v>41828</v>
      </c>
      <c r="E573" s="16">
        <f t="shared" si="56"/>
        <v>3.831107843570436E-4</v>
      </c>
      <c r="F573" s="17">
        <f t="shared" si="57"/>
        <v>-2.6920701238458578E-2</v>
      </c>
      <c r="G573" s="18">
        <f t="shared" si="58"/>
        <v>-2.7303812022815621E-2</v>
      </c>
      <c r="J573" s="28"/>
      <c r="K573" s="8">
        <v>41828</v>
      </c>
      <c r="L573" s="7">
        <v>20700.53</v>
      </c>
      <c r="M573" s="6">
        <v>21281.37</v>
      </c>
      <c r="N573" s="6">
        <v>21348.78</v>
      </c>
      <c r="O573" s="6">
        <v>20700.53</v>
      </c>
      <c r="P573" s="37">
        <v>804080</v>
      </c>
    </row>
    <row r="574" spans="2:16" ht="15" thickBot="1">
      <c r="B574" s="9">
        <f t="shared" si="53"/>
        <v>5</v>
      </c>
      <c r="C574" s="15">
        <f t="shared" si="54"/>
        <v>1</v>
      </c>
      <c r="D574" s="25">
        <f t="shared" si="55"/>
        <v>41827</v>
      </c>
      <c r="E574" s="16">
        <f t="shared" si="56"/>
        <v>-1.4012585816071121E-3</v>
      </c>
      <c r="F574" s="17">
        <f t="shared" si="57"/>
        <v>-1.3264412995107722E-2</v>
      </c>
      <c r="G574" s="18">
        <f t="shared" si="58"/>
        <v>-1.186315441350061E-2</v>
      </c>
      <c r="J574" s="28"/>
      <c r="K574" s="8">
        <v>41827</v>
      </c>
      <c r="L574" s="7">
        <v>21273.22</v>
      </c>
      <c r="M574" s="6">
        <v>21528.98</v>
      </c>
      <c r="N574" s="6">
        <v>21611.98</v>
      </c>
      <c r="O574" s="6">
        <v>21273.22</v>
      </c>
      <c r="P574" s="37">
        <v>412600</v>
      </c>
    </row>
    <row r="575" spans="2:16" ht="15" thickBot="1">
      <c r="B575" s="9">
        <f t="shared" si="53"/>
        <v>4</v>
      </c>
      <c r="C575" s="15">
        <f t="shared" si="54"/>
        <v>5</v>
      </c>
      <c r="D575" s="25">
        <f t="shared" si="55"/>
        <v>41824</v>
      </c>
      <c r="E575" s="16">
        <f t="shared" si="56"/>
        <v>-6.9683704522816026E-4</v>
      </c>
      <c r="F575" s="17">
        <f t="shared" si="57"/>
        <v>-1.4869360189356917E-2</v>
      </c>
      <c r="G575" s="18">
        <f t="shared" si="58"/>
        <v>-1.4172523144128757E-2</v>
      </c>
      <c r="J575" s="28"/>
      <c r="K575" s="8">
        <v>41824</v>
      </c>
      <c r="L575" s="7">
        <v>21559.19</v>
      </c>
      <c r="M575" s="6">
        <v>21869.35</v>
      </c>
      <c r="N575" s="6">
        <v>21870.720000000001</v>
      </c>
      <c r="O575" s="6">
        <v>21559.19</v>
      </c>
      <c r="P575" s="37">
        <v>576490</v>
      </c>
    </row>
    <row r="576" spans="2:16" ht="15" thickBot="1">
      <c r="B576" s="9">
        <f t="shared" si="53"/>
        <v>3</v>
      </c>
      <c r="C576" s="15">
        <f t="shared" si="54"/>
        <v>4</v>
      </c>
      <c r="D576" s="25">
        <f t="shared" si="55"/>
        <v>41823</v>
      </c>
      <c r="E576" s="16">
        <f t="shared" si="56"/>
        <v>1.4452053593916325E-3</v>
      </c>
      <c r="F576" s="17">
        <f t="shared" si="57"/>
        <v>9.5033899821850287E-3</v>
      </c>
      <c r="G576" s="18">
        <f t="shared" si="58"/>
        <v>8.0581846227933962E-3</v>
      </c>
      <c r="J576" s="28"/>
      <c r="K576" s="8">
        <v>41823</v>
      </c>
      <c r="L576" s="5">
        <v>21884.6</v>
      </c>
      <c r="M576" s="6">
        <v>21709.91</v>
      </c>
      <c r="N576" s="6">
        <v>21896.15</v>
      </c>
      <c r="O576" s="6">
        <v>21627.24</v>
      </c>
      <c r="P576" s="37">
        <v>585330</v>
      </c>
    </row>
    <row r="577" spans="2:16" ht="15" thickBot="1">
      <c r="B577" s="9">
        <f t="shared" si="53"/>
        <v>2</v>
      </c>
      <c r="C577" s="15">
        <f t="shared" si="54"/>
        <v>3</v>
      </c>
      <c r="D577" s="25">
        <f t="shared" si="55"/>
        <v>41822</v>
      </c>
      <c r="E577" s="16">
        <f t="shared" si="56"/>
        <v>-2.9262506011340506E-4</v>
      </c>
      <c r="F577" s="17">
        <f t="shared" si="57"/>
        <v>5.3400595359829328E-3</v>
      </c>
      <c r="G577" s="18">
        <f t="shared" si="58"/>
        <v>5.6326845960963379E-3</v>
      </c>
      <c r="J577" s="28"/>
      <c r="K577" s="8">
        <v>41822</v>
      </c>
      <c r="L577" s="5">
        <v>21678.58</v>
      </c>
      <c r="M577" s="6">
        <v>21557.119999999999</v>
      </c>
      <c r="N577" s="6">
        <v>21765.58</v>
      </c>
      <c r="O577" s="6">
        <v>21493.62</v>
      </c>
      <c r="P577" s="37">
        <v>604590</v>
      </c>
    </row>
    <row r="578" spans="2:16" ht="15" thickBot="1">
      <c r="B578" s="19">
        <v>1</v>
      </c>
      <c r="C578" s="15">
        <f t="shared" si="54"/>
        <v>2</v>
      </c>
      <c r="D578" s="25">
        <f t="shared" si="55"/>
        <v>41821</v>
      </c>
      <c r="E578" s="16">
        <f t="shared" si="56"/>
        <v>2.9323832179910525E-3</v>
      </c>
      <c r="F578" s="17">
        <f t="shared" si="57"/>
        <v>1.3174815803952855E-2</v>
      </c>
      <c r="G578" s="18">
        <f t="shared" si="58"/>
        <v>1.0242432585961803E-2</v>
      </c>
      <c r="J578" s="28"/>
      <c r="K578" s="8">
        <v>41821</v>
      </c>
      <c r="L578" s="5">
        <v>21563.43</v>
      </c>
      <c r="M578" s="6">
        <v>21345.439999999999</v>
      </c>
      <c r="N578" s="6">
        <v>21606.87</v>
      </c>
      <c r="O578" s="6">
        <v>21268.27</v>
      </c>
      <c r="P578" s="37">
        <v>724890</v>
      </c>
    </row>
    <row r="579" spans="2:16" ht="15" thickBot="1">
      <c r="B579" s="9">
        <f t="shared" si="53"/>
        <v>21</v>
      </c>
      <c r="C579" s="15">
        <f t="shared" si="54"/>
        <v>1</v>
      </c>
      <c r="D579" s="25">
        <f t="shared" si="55"/>
        <v>41820</v>
      </c>
      <c r="E579" s="16">
        <f t="shared" si="56"/>
        <v>1.8639984690260736E-3</v>
      </c>
      <c r="F579" s="17">
        <f t="shared" si="57"/>
        <v>-1.7228148909743668E-3</v>
      </c>
      <c r="G579" s="18">
        <f t="shared" si="58"/>
        <v>-3.5868133600004404E-3</v>
      </c>
      <c r="J579" s="28"/>
      <c r="K579" s="8">
        <v>41820</v>
      </c>
      <c r="L579" s="7">
        <v>21283.03</v>
      </c>
      <c r="M579" s="6">
        <v>21359.5</v>
      </c>
      <c r="N579" s="6">
        <v>21449.25</v>
      </c>
      <c r="O579" s="6">
        <v>21130.22</v>
      </c>
      <c r="P579" s="37">
        <v>682900</v>
      </c>
    </row>
    <row r="580" spans="2:16" ht="15" thickBot="1">
      <c r="B580" s="9">
        <f t="shared" si="53"/>
        <v>20</v>
      </c>
      <c r="C580" s="15">
        <f t="shared" si="54"/>
        <v>5</v>
      </c>
      <c r="D580" s="25">
        <f t="shared" si="55"/>
        <v>41817</v>
      </c>
      <c r="E580" s="16">
        <f t="shared" si="56"/>
        <v>1.8747188389369729E-3</v>
      </c>
      <c r="F580" s="17">
        <f t="shared" si="57"/>
        <v>-3.0292912543361528E-3</v>
      </c>
      <c r="G580" s="18">
        <f t="shared" si="58"/>
        <v>-4.9040100932731256E-3</v>
      </c>
      <c r="J580" s="28"/>
      <c r="K580" s="8">
        <v>41817</v>
      </c>
      <c r="L580" s="7">
        <v>21319.759999999998</v>
      </c>
      <c r="M580" s="6">
        <v>21424.63</v>
      </c>
      <c r="N580" s="6">
        <v>21528.080000000002</v>
      </c>
      <c r="O580" s="6">
        <v>21256.97</v>
      </c>
      <c r="P580" s="37">
        <v>489570</v>
      </c>
    </row>
    <row r="581" spans="2:16" ht="15" thickBot="1">
      <c r="B581" s="9">
        <f t="shared" si="53"/>
        <v>19</v>
      </c>
      <c r="C581" s="15">
        <f t="shared" si="54"/>
        <v>4</v>
      </c>
      <c r="D581" s="25">
        <f t="shared" si="55"/>
        <v>41816</v>
      </c>
      <c r="E581" s="16">
        <f t="shared" si="56"/>
        <v>3.2157845461617818E-3</v>
      </c>
      <c r="F581" s="17">
        <f t="shared" si="57"/>
        <v>-3.9386839690530584E-3</v>
      </c>
      <c r="G581" s="18">
        <f t="shared" si="58"/>
        <v>-7.1544685152148402E-3</v>
      </c>
      <c r="J581" s="28"/>
      <c r="K581" s="8">
        <v>41816</v>
      </c>
      <c r="L581" s="7">
        <v>21384.54</v>
      </c>
      <c r="M581" s="6">
        <v>21538.14</v>
      </c>
      <c r="N581" s="6">
        <v>21598.5</v>
      </c>
      <c r="O581" s="6">
        <v>21244.91</v>
      </c>
      <c r="P581" s="37">
        <v>696370</v>
      </c>
    </row>
    <row r="582" spans="2:16" ht="15" thickBot="1">
      <c r="B582" s="9">
        <f t="shared" ref="B582:B645" si="59">B583+1</f>
        <v>18</v>
      </c>
      <c r="C582" s="15">
        <f t="shared" si="54"/>
        <v>3</v>
      </c>
      <c r="D582" s="25">
        <f t="shared" si="55"/>
        <v>41815</v>
      </c>
      <c r="E582" s="16">
        <f t="shared" si="56"/>
        <v>-4.3204548353051875E-3</v>
      </c>
      <c r="F582" s="17">
        <f t="shared" si="57"/>
        <v>-7.9542577042721607E-3</v>
      </c>
      <c r="G582" s="18">
        <f t="shared" si="58"/>
        <v>-3.6338028689669732E-3</v>
      </c>
      <c r="J582" s="28"/>
      <c r="K582" s="8">
        <v>41815</v>
      </c>
      <c r="L582" s="7">
        <v>21469.1</v>
      </c>
      <c r="M582" s="6">
        <v>21547.74</v>
      </c>
      <c r="N582" s="6">
        <v>21723.53</v>
      </c>
      <c r="O582" s="6">
        <v>21382.1</v>
      </c>
      <c r="P582" s="37">
        <v>965090</v>
      </c>
    </row>
    <row r="583" spans="2:16" ht="15" thickBot="1">
      <c r="B583" s="9">
        <f t="shared" si="59"/>
        <v>17</v>
      </c>
      <c r="C583" s="15">
        <f t="shared" si="54"/>
        <v>2</v>
      </c>
      <c r="D583" s="25">
        <f t="shared" si="55"/>
        <v>41814</v>
      </c>
      <c r="E583" s="16">
        <f t="shared" si="56"/>
        <v>1.3837449152445114E-3</v>
      </c>
      <c r="F583" s="17">
        <f t="shared" si="57"/>
        <v>-2.4664953502574471E-3</v>
      </c>
      <c r="G583" s="18">
        <f t="shared" si="58"/>
        <v>-3.8502402655019585E-3</v>
      </c>
      <c r="J583" s="28"/>
      <c r="K583" s="8">
        <v>41814</v>
      </c>
      <c r="L583" s="7">
        <v>21641.24</v>
      </c>
      <c r="M583" s="6">
        <v>21724.77</v>
      </c>
      <c r="N583" s="6">
        <v>21744.14</v>
      </c>
      <c r="O583" s="6">
        <v>21544.880000000001</v>
      </c>
      <c r="P583" s="37">
        <v>576990</v>
      </c>
    </row>
    <row r="584" spans="2:16" ht="15" thickBot="1">
      <c r="B584" s="9">
        <f t="shared" si="59"/>
        <v>16</v>
      </c>
      <c r="C584" s="15">
        <f t="shared" si="54"/>
        <v>1</v>
      </c>
      <c r="D584" s="25">
        <f t="shared" si="55"/>
        <v>41813</v>
      </c>
      <c r="E584" s="16">
        <f t="shared" si="56"/>
        <v>-2.5068127821984421E-3</v>
      </c>
      <c r="F584" s="17">
        <f t="shared" si="57"/>
        <v>-1.3340409894815775E-2</v>
      </c>
      <c r="G584" s="18">
        <f t="shared" si="58"/>
        <v>-1.0833597112617332E-2</v>
      </c>
      <c r="J584" s="28"/>
      <c r="K584" s="8">
        <v>41813</v>
      </c>
      <c r="L584" s="7">
        <v>21694.75</v>
      </c>
      <c r="M584" s="6">
        <v>21932.959999999999</v>
      </c>
      <c r="N584" s="6">
        <v>21981.83</v>
      </c>
      <c r="O584" s="6">
        <v>21646.7</v>
      </c>
      <c r="P584" s="37">
        <v>555520</v>
      </c>
    </row>
    <row r="585" spans="2:16" ht="15" thickBot="1">
      <c r="B585" s="9">
        <f t="shared" si="59"/>
        <v>15</v>
      </c>
      <c r="C585" s="15">
        <f t="shared" si="54"/>
        <v>5</v>
      </c>
      <c r="D585" s="25">
        <f t="shared" si="55"/>
        <v>41810</v>
      </c>
      <c r="E585" s="16">
        <f t="shared" si="56"/>
        <v>3.081025340026855E-3</v>
      </c>
      <c r="F585" s="17">
        <f t="shared" si="57"/>
        <v>-1.0287338808811164E-2</v>
      </c>
      <c r="G585" s="18">
        <f t="shared" si="58"/>
        <v>-1.3368364148838019E-2</v>
      </c>
      <c r="J585" s="28"/>
      <c r="K585" s="8">
        <v>41810</v>
      </c>
      <c r="L585" s="7">
        <v>21988.080000000002</v>
      </c>
      <c r="M585" s="6">
        <v>22285.08</v>
      </c>
      <c r="N585" s="6">
        <v>22293.200000000001</v>
      </c>
      <c r="O585" s="6">
        <v>21988.080000000002</v>
      </c>
      <c r="P585" s="37">
        <v>881170</v>
      </c>
    </row>
    <row r="586" spans="2:16" ht="15" thickBot="1">
      <c r="B586" s="9">
        <f t="shared" si="59"/>
        <v>14</v>
      </c>
      <c r="C586" s="15">
        <f t="shared" si="54"/>
        <v>4</v>
      </c>
      <c r="D586" s="25">
        <f t="shared" si="55"/>
        <v>41809</v>
      </c>
      <c r="E586" s="16">
        <f t="shared" si="56"/>
        <v>8.4442636836290497E-3</v>
      </c>
      <c r="F586" s="17">
        <f t="shared" si="57"/>
        <v>8.4560655895460357E-3</v>
      </c>
      <c r="G586" s="18">
        <f t="shared" si="58"/>
        <v>1.1801905916986044E-5</v>
      </c>
      <c r="J586" s="28"/>
      <c r="K586" s="8">
        <v>41809</v>
      </c>
      <c r="L586" s="5">
        <v>22216.63</v>
      </c>
      <c r="M586" s="6">
        <v>22216.37</v>
      </c>
      <c r="N586" s="6">
        <v>22316.51</v>
      </c>
      <c r="O586" s="6">
        <v>22145.13</v>
      </c>
      <c r="P586" s="37">
        <v>690740</v>
      </c>
    </row>
    <row r="587" spans="2:16" ht="15" thickBot="1">
      <c r="B587" s="9">
        <f t="shared" si="59"/>
        <v>13</v>
      </c>
      <c r="C587" s="15">
        <f t="shared" si="54"/>
        <v>3</v>
      </c>
      <c r="D587" s="25">
        <f t="shared" si="55"/>
        <v>41808</v>
      </c>
      <c r="E587" s="16">
        <f t="shared" si="56"/>
        <v>1.4356894764597783E-3</v>
      </c>
      <c r="F587" s="17">
        <f t="shared" si="57"/>
        <v>1.5429797603243589E-3</v>
      </c>
      <c r="G587" s="18">
        <f t="shared" si="58"/>
        <v>1.0729028386458062E-4</v>
      </c>
      <c r="J587" s="28"/>
      <c r="K587" s="8">
        <v>41808</v>
      </c>
      <c r="L587" s="5">
        <v>22030.34</v>
      </c>
      <c r="M587" s="6">
        <v>22027.98</v>
      </c>
      <c r="N587" s="6">
        <v>22119.599999999999</v>
      </c>
      <c r="O587" s="6">
        <v>21958.77</v>
      </c>
      <c r="P587" s="37">
        <v>530990</v>
      </c>
    </row>
    <row r="588" spans="2:16" ht="15" thickBot="1">
      <c r="B588" s="9">
        <f t="shared" si="59"/>
        <v>12</v>
      </c>
      <c r="C588" s="15">
        <f t="shared" si="54"/>
        <v>2</v>
      </c>
      <c r="D588" s="25">
        <f t="shared" si="55"/>
        <v>41807</v>
      </c>
      <c r="E588" s="16">
        <f t="shared" si="56"/>
        <v>2.4426358261142589E-3</v>
      </c>
      <c r="F588" s="17">
        <f t="shared" si="57"/>
        <v>9.1644347127317616E-4</v>
      </c>
      <c r="G588" s="18">
        <f t="shared" si="58"/>
        <v>-1.5261923548410827E-3</v>
      </c>
      <c r="J588" s="28"/>
      <c r="K588" s="8">
        <v>41807</v>
      </c>
      <c r="L588" s="5">
        <v>21996.400000000001</v>
      </c>
      <c r="M588" s="6">
        <v>22029.94</v>
      </c>
      <c r="N588" s="6">
        <v>22159.87</v>
      </c>
      <c r="O588" s="6">
        <v>21876.68</v>
      </c>
      <c r="P588" s="37">
        <v>612940</v>
      </c>
    </row>
    <row r="589" spans="2:16" ht="15" thickBot="1">
      <c r="B589" s="9">
        <f t="shared" si="59"/>
        <v>11</v>
      </c>
      <c r="C589" s="15">
        <f t="shared" si="54"/>
        <v>1</v>
      </c>
      <c r="D589" s="25">
        <f t="shared" si="55"/>
        <v>41806</v>
      </c>
      <c r="E589" s="16">
        <f t="shared" si="56"/>
        <v>-4.3751750994880378E-3</v>
      </c>
      <c r="F589" s="17">
        <f t="shared" si="57"/>
        <v>-8.558614849699886E-3</v>
      </c>
      <c r="G589" s="18">
        <f t="shared" si="58"/>
        <v>-4.1834397502118481E-3</v>
      </c>
      <c r="J589" s="28"/>
      <c r="K589" s="8">
        <v>41806</v>
      </c>
      <c r="L589" s="7">
        <v>21976.26</v>
      </c>
      <c r="M589" s="6">
        <v>22068.99</v>
      </c>
      <c r="N589" s="6">
        <v>22182.14</v>
      </c>
      <c r="O589" s="6">
        <v>21915.11</v>
      </c>
      <c r="P589" s="37">
        <v>563300</v>
      </c>
    </row>
    <row r="590" spans="2:16" ht="15" thickBot="1">
      <c r="B590" s="9">
        <f t="shared" si="59"/>
        <v>10</v>
      </c>
      <c r="C590" s="15">
        <f t="shared" si="54"/>
        <v>5</v>
      </c>
      <c r="D590" s="25">
        <f t="shared" si="55"/>
        <v>41803</v>
      </c>
      <c r="E590" s="16">
        <f t="shared" si="56"/>
        <v>-7.1965200426471476E-4</v>
      </c>
      <c r="F590" s="17">
        <f t="shared" si="57"/>
        <v>1.118957348322791E-4</v>
      </c>
      <c r="G590" s="18">
        <f t="shared" si="58"/>
        <v>8.3154773909699387E-4</v>
      </c>
      <c r="J590" s="28"/>
      <c r="K590" s="8">
        <v>41803</v>
      </c>
      <c r="L590" s="5">
        <v>22165.97</v>
      </c>
      <c r="M590" s="6">
        <v>22147.54</v>
      </c>
      <c r="N590" s="6">
        <v>22225.56</v>
      </c>
      <c r="O590" s="6">
        <v>21915.26</v>
      </c>
      <c r="P590" s="37">
        <v>586870</v>
      </c>
    </row>
    <row r="591" spans="2:16" ht="15" thickBot="1">
      <c r="B591" s="9">
        <f t="shared" si="59"/>
        <v>9</v>
      </c>
      <c r="C591" s="15">
        <f t="shared" si="54"/>
        <v>4</v>
      </c>
      <c r="D591" s="25">
        <f t="shared" si="55"/>
        <v>41802</v>
      </c>
      <c r="E591" s="16">
        <f t="shared" si="56"/>
        <v>1.4844466082937213E-3</v>
      </c>
      <c r="F591" s="17">
        <f t="shared" si="57"/>
        <v>-2.7124110805681889E-3</v>
      </c>
      <c r="G591" s="18">
        <f t="shared" si="58"/>
        <v>-4.1968576888619102E-3</v>
      </c>
      <c r="J591" s="28"/>
      <c r="K591" s="8">
        <v>41802</v>
      </c>
      <c r="L591" s="7">
        <v>22163.49</v>
      </c>
      <c r="M591" s="6">
        <v>22256.76</v>
      </c>
      <c r="N591" s="6">
        <v>22346.97</v>
      </c>
      <c r="O591" s="6">
        <v>22094.93</v>
      </c>
      <c r="P591" s="37">
        <v>617290</v>
      </c>
    </row>
    <row r="592" spans="2:16" ht="15" thickBot="1">
      <c r="B592" s="9">
        <f t="shared" si="59"/>
        <v>8</v>
      </c>
      <c r="C592" s="15">
        <f t="shared" si="54"/>
        <v>3</v>
      </c>
      <c r="D592" s="25">
        <f t="shared" si="55"/>
        <v>41801</v>
      </c>
      <c r="E592" s="16">
        <f t="shared" si="56"/>
        <v>-1.7655447258739798E-3</v>
      </c>
      <c r="F592" s="17">
        <f t="shared" si="57"/>
        <v>-1.2407251131739572E-2</v>
      </c>
      <c r="G592" s="18">
        <f t="shared" si="58"/>
        <v>-1.0641706405865592E-2</v>
      </c>
      <c r="J592" s="28"/>
      <c r="K592" s="8">
        <v>41801</v>
      </c>
      <c r="L592" s="7">
        <v>22223.77</v>
      </c>
      <c r="M592" s="6">
        <v>22463.24</v>
      </c>
      <c r="N592" s="6">
        <v>22490.74</v>
      </c>
      <c r="O592" s="6">
        <v>22206.09</v>
      </c>
      <c r="P592" s="37">
        <v>726630</v>
      </c>
    </row>
    <row r="593" spans="2:16" ht="15" thickBot="1">
      <c r="B593" s="9">
        <f t="shared" si="59"/>
        <v>7</v>
      </c>
      <c r="C593" s="15">
        <f t="shared" si="54"/>
        <v>2</v>
      </c>
      <c r="D593" s="25">
        <f t="shared" si="55"/>
        <v>41800</v>
      </c>
      <c r="E593" s="16">
        <f t="shared" si="56"/>
        <v>-8.7619681632167268E-4</v>
      </c>
      <c r="F593" s="17">
        <f t="shared" si="57"/>
        <v>1.3728121779343905E-3</v>
      </c>
      <c r="G593" s="18">
        <f t="shared" si="58"/>
        <v>2.2490089942560632E-3</v>
      </c>
      <c r="J593" s="28"/>
      <c r="K593" s="8">
        <v>41800</v>
      </c>
      <c r="L593" s="5">
        <v>22502.97</v>
      </c>
      <c r="M593" s="6">
        <v>22452.43</v>
      </c>
      <c r="N593" s="6">
        <v>22590.18</v>
      </c>
      <c r="O593" s="6">
        <v>22400.03</v>
      </c>
      <c r="P593" s="37">
        <v>575690</v>
      </c>
    </row>
    <row r="594" spans="2:16" ht="15" thickBot="1">
      <c r="B594" s="9">
        <f t="shared" si="59"/>
        <v>6</v>
      </c>
      <c r="C594" s="15">
        <f t="shared" si="54"/>
        <v>1</v>
      </c>
      <c r="D594" s="25">
        <f t="shared" si="55"/>
        <v>41799</v>
      </c>
      <c r="E594" s="16">
        <f t="shared" si="56"/>
        <v>2.9304515730763647E-3</v>
      </c>
      <c r="F594" s="17">
        <f t="shared" si="57"/>
        <v>8.1668616712007314E-3</v>
      </c>
      <c r="G594" s="18">
        <f t="shared" si="58"/>
        <v>5.2364100981243666E-3</v>
      </c>
      <c r="J594" s="28"/>
      <c r="K594" s="8">
        <v>41799</v>
      </c>
      <c r="L594" s="5">
        <v>22472.12</v>
      </c>
      <c r="M594" s="6">
        <v>22355.4</v>
      </c>
      <c r="N594" s="6">
        <v>22472.12</v>
      </c>
      <c r="O594" s="6">
        <v>22256.42</v>
      </c>
      <c r="P594" s="37">
        <v>658780</v>
      </c>
    </row>
    <row r="595" spans="2:16" ht="15" thickBot="1">
      <c r="B595" s="9">
        <f t="shared" si="59"/>
        <v>5</v>
      </c>
      <c r="C595" s="15">
        <f t="shared" si="54"/>
        <v>5</v>
      </c>
      <c r="D595" s="25">
        <f t="shared" si="55"/>
        <v>41796</v>
      </c>
      <c r="E595" s="16">
        <f t="shared" si="56"/>
        <v>2.9301532909329353E-3</v>
      </c>
      <c r="F595" s="17">
        <f t="shared" si="57"/>
        <v>1.5443894078967624E-2</v>
      </c>
      <c r="G595" s="18">
        <f t="shared" si="58"/>
        <v>1.2513740788034688E-2</v>
      </c>
      <c r="J595" s="28"/>
      <c r="K595" s="8">
        <v>41796</v>
      </c>
      <c r="L595" s="5">
        <v>22290.080000000002</v>
      </c>
      <c r="M595" s="6">
        <v>22015.39</v>
      </c>
      <c r="N595" s="6">
        <v>22290.080000000002</v>
      </c>
      <c r="O595" s="6">
        <v>21907.02</v>
      </c>
      <c r="P595" s="37">
        <v>1000000</v>
      </c>
    </row>
    <row r="596" spans="2:16" ht="15" thickBot="1">
      <c r="B596" s="9">
        <f t="shared" si="59"/>
        <v>4</v>
      </c>
      <c r="C596" s="15">
        <f t="shared" si="54"/>
        <v>4</v>
      </c>
      <c r="D596" s="25">
        <f t="shared" si="55"/>
        <v>41795</v>
      </c>
      <c r="E596" s="16">
        <f t="shared" si="56"/>
        <v>1.1418518533934385E-3</v>
      </c>
      <c r="F596" s="17">
        <f t="shared" si="57"/>
        <v>1.5183068589269544E-2</v>
      </c>
      <c r="G596" s="18">
        <f t="shared" si="58"/>
        <v>1.4041216735876105E-2</v>
      </c>
      <c r="J596" s="28"/>
      <c r="K596" s="8">
        <v>41795</v>
      </c>
      <c r="L596" s="5">
        <v>21951.07</v>
      </c>
      <c r="M596" s="6">
        <v>21647.46</v>
      </c>
      <c r="N596" s="6">
        <v>22149.89</v>
      </c>
      <c r="O596" s="6">
        <v>21619.07</v>
      </c>
      <c r="P596" s="37">
        <v>992160</v>
      </c>
    </row>
    <row r="597" spans="2:16" ht="15" thickBot="1">
      <c r="B597" s="9">
        <f t="shared" si="59"/>
        <v>3</v>
      </c>
      <c r="C597" s="15">
        <f t="shared" si="54"/>
        <v>3</v>
      </c>
      <c r="D597" s="25">
        <f t="shared" si="55"/>
        <v>41794</v>
      </c>
      <c r="E597" s="16">
        <f t="shared" si="56"/>
        <v>-1.0273980509450942E-3</v>
      </c>
      <c r="F597" s="17">
        <f t="shared" si="57"/>
        <v>-1.5644155490346368E-3</v>
      </c>
      <c r="G597" s="18">
        <f t="shared" si="58"/>
        <v>-5.3701749808954258E-4</v>
      </c>
      <c r="J597" s="28"/>
      <c r="K597" s="8">
        <v>41794</v>
      </c>
      <c r="L597" s="7">
        <v>21622.77</v>
      </c>
      <c r="M597" s="6">
        <v>21634.400000000001</v>
      </c>
      <c r="N597" s="6">
        <v>21677.21</v>
      </c>
      <c r="O597" s="6">
        <v>21425.9</v>
      </c>
      <c r="P597" s="37">
        <v>536230</v>
      </c>
    </row>
    <row r="598" spans="2:16" ht="15" thickBot="1">
      <c r="B598" s="9">
        <f t="shared" si="59"/>
        <v>2</v>
      </c>
      <c r="C598" s="15">
        <f t="shared" si="54"/>
        <v>2</v>
      </c>
      <c r="D598" s="25">
        <f t="shared" si="55"/>
        <v>41793</v>
      </c>
      <c r="E598" s="16">
        <f t="shared" si="56"/>
        <v>-1.186446976693456E-3</v>
      </c>
      <c r="F598" s="17">
        <f t="shared" si="57"/>
        <v>-6.4011246012486422E-3</v>
      </c>
      <c r="G598" s="18">
        <f t="shared" si="58"/>
        <v>-5.2146776245551862E-3</v>
      </c>
      <c r="J598" s="28"/>
      <c r="K598" s="8">
        <v>41793</v>
      </c>
      <c r="L598" s="7">
        <v>21656.65</v>
      </c>
      <c r="M598" s="6">
        <v>21770.31</v>
      </c>
      <c r="N598" s="6">
        <v>21813.39</v>
      </c>
      <c r="O598" s="6">
        <v>21608.33</v>
      </c>
      <c r="P598" s="37">
        <v>556390</v>
      </c>
    </row>
    <row r="599" spans="2:16" ht="15" thickBot="1">
      <c r="B599" s="19">
        <v>1</v>
      </c>
      <c r="C599" s="15">
        <f t="shared" si="54"/>
        <v>1</v>
      </c>
      <c r="D599" s="25">
        <f t="shared" si="55"/>
        <v>41792</v>
      </c>
      <c r="E599" s="16">
        <f t="shared" si="56"/>
        <v>5.5738149055166719E-3</v>
      </c>
      <c r="F599" s="17">
        <f t="shared" si="57"/>
        <v>7.6958960614821326E-3</v>
      </c>
      <c r="G599" s="18">
        <f t="shared" si="58"/>
        <v>2.1220811559654607E-3</v>
      </c>
      <c r="J599" s="28"/>
      <c r="K599" s="8">
        <v>41792</v>
      </c>
      <c r="L599" s="5">
        <v>21796.17</v>
      </c>
      <c r="M599" s="6">
        <v>21750.27</v>
      </c>
      <c r="N599" s="6">
        <v>21796.17</v>
      </c>
      <c r="O599" s="6">
        <v>21596.22</v>
      </c>
      <c r="P599" s="37">
        <v>520260</v>
      </c>
    </row>
    <row r="600" spans="2:16" ht="15" thickBot="1">
      <c r="B600" s="9">
        <f t="shared" si="59"/>
        <v>21</v>
      </c>
      <c r="C600" s="15">
        <f t="shared" si="54"/>
        <v>5</v>
      </c>
      <c r="D600" s="25">
        <f t="shared" si="55"/>
        <v>41789</v>
      </c>
      <c r="E600" s="16">
        <f t="shared" si="56"/>
        <v>-6.2990002951923696E-4</v>
      </c>
      <c r="F600" s="17">
        <f t="shared" si="57"/>
        <v>5.502211623166442E-3</v>
      </c>
      <c r="G600" s="18">
        <f t="shared" si="58"/>
        <v>6.1321116526856789E-3</v>
      </c>
      <c r="J600" s="28"/>
      <c r="K600" s="8">
        <v>41789</v>
      </c>
      <c r="L600" s="5">
        <v>21629.71</v>
      </c>
      <c r="M600" s="6">
        <v>21497.8</v>
      </c>
      <c r="N600" s="6">
        <v>21700.38</v>
      </c>
      <c r="O600" s="6">
        <v>21483.67</v>
      </c>
      <c r="P600" s="37">
        <v>583750</v>
      </c>
    </row>
    <row r="601" spans="2:16" ht="15" thickBot="1">
      <c r="B601" s="9">
        <f t="shared" si="59"/>
        <v>20</v>
      </c>
      <c r="C601" s="15">
        <f t="shared" si="54"/>
        <v>4</v>
      </c>
      <c r="D601" s="25">
        <f t="shared" si="55"/>
        <v>41788</v>
      </c>
      <c r="E601" s="16">
        <f t="shared" si="56"/>
        <v>-6.7729052288956204E-4</v>
      </c>
      <c r="F601" s="17">
        <f t="shared" si="57"/>
        <v>-3.4587216442500957E-3</v>
      </c>
      <c r="G601" s="18">
        <f t="shared" si="58"/>
        <v>-2.7814311213605336E-3</v>
      </c>
      <c r="J601" s="28"/>
      <c r="K601" s="8">
        <v>41788</v>
      </c>
      <c r="L601" s="7">
        <v>21511.35</v>
      </c>
      <c r="M601" s="6">
        <v>21571.39</v>
      </c>
      <c r="N601" s="6">
        <v>21633.72</v>
      </c>
      <c r="O601" s="6">
        <v>21429.93</v>
      </c>
      <c r="P601" s="37">
        <v>398220</v>
      </c>
    </row>
    <row r="602" spans="2:16" ht="15" thickBot="1">
      <c r="B602" s="9">
        <f t="shared" si="59"/>
        <v>19</v>
      </c>
      <c r="C602" s="15">
        <f t="shared" si="54"/>
        <v>3</v>
      </c>
      <c r="D602" s="25">
        <f t="shared" si="55"/>
        <v>41787</v>
      </c>
      <c r="E602" s="16">
        <f t="shared" si="56"/>
        <v>2.5290197186915719E-3</v>
      </c>
      <c r="F602" s="17">
        <f t="shared" si="57"/>
        <v>8.5247540711703707E-3</v>
      </c>
      <c r="G602" s="18">
        <f t="shared" si="58"/>
        <v>5.9957343524787987E-3</v>
      </c>
      <c r="J602" s="28"/>
      <c r="K602" s="8">
        <v>41787</v>
      </c>
      <c r="L602" s="5">
        <v>21586.01</v>
      </c>
      <c r="M602" s="6">
        <v>21457.68</v>
      </c>
      <c r="N602" s="6">
        <v>21607.56</v>
      </c>
      <c r="O602" s="6">
        <v>21396.51</v>
      </c>
      <c r="P602" s="37">
        <v>680990</v>
      </c>
    </row>
    <row r="603" spans="2:16" ht="15" thickBot="1">
      <c r="B603" s="9">
        <f t="shared" si="59"/>
        <v>18</v>
      </c>
      <c r="C603" s="15">
        <f t="shared" si="54"/>
        <v>2</v>
      </c>
      <c r="D603" s="25">
        <f t="shared" si="55"/>
        <v>41786</v>
      </c>
      <c r="E603" s="16">
        <f t="shared" si="56"/>
        <v>-3.9262357127869407E-3</v>
      </c>
      <c r="F603" s="17">
        <f t="shared" si="57"/>
        <v>-4.2021283277511312E-3</v>
      </c>
      <c r="G603" s="18">
        <f t="shared" si="58"/>
        <v>-2.7589261496419049E-4</v>
      </c>
      <c r="J603" s="28"/>
      <c r="K603" s="8">
        <v>41786</v>
      </c>
      <c r="L603" s="7">
        <v>21403.55</v>
      </c>
      <c r="M603" s="6">
        <v>21409.48</v>
      </c>
      <c r="N603" s="6">
        <v>21631.69</v>
      </c>
      <c r="O603" s="6">
        <v>21341.26</v>
      </c>
      <c r="P603" s="37">
        <v>649700</v>
      </c>
    </row>
    <row r="604" spans="2:16" ht="15" thickBot="1">
      <c r="B604" s="9">
        <f t="shared" si="59"/>
        <v>17</v>
      </c>
      <c r="C604" s="15">
        <f t="shared" si="54"/>
        <v>1</v>
      </c>
      <c r="D604" s="25">
        <f t="shared" si="55"/>
        <v>41785</v>
      </c>
      <c r="E604" s="16">
        <f t="shared" si="56"/>
        <v>1.8589643477573414E-2</v>
      </c>
      <c r="F604" s="17">
        <f t="shared" si="57"/>
        <v>3.6050874483513962E-2</v>
      </c>
      <c r="G604" s="18">
        <f t="shared" si="58"/>
        <v>1.7461231005940547E-2</v>
      </c>
      <c r="J604" s="28"/>
      <c r="K604" s="8">
        <v>41785</v>
      </c>
      <c r="L604" s="5">
        <v>21493.87</v>
      </c>
      <c r="M604" s="6">
        <v>21131.62</v>
      </c>
      <c r="N604" s="6">
        <v>21493.87</v>
      </c>
      <c r="O604" s="6">
        <v>21129.71</v>
      </c>
      <c r="P604" s="37">
        <v>758610</v>
      </c>
    </row>
    <row r="605" spans="2:16" ht="15" thickBot="1">
      <c r="B605" s="9">
        <f t="shared" si="59"/>
        <v>16</v>
      </c>
      <c r="C605" s="15">
        <f t="shared" si="54"/>
        <v>5</v>
      </c>
      <c r="D605" s="25">
        <f t="shared" si="55"/>
        <v>41782</v>
      </c>
      <c r="E605" s="16">
        <f t="shared" si="56"/>
        <v>2.896035278610043E-5</v>
      </c>
      <c r="F605" s="17">
        <f t="shared" si="57"/>
        <v>1.832257709834928E-2</v>
      </c>
      <c r="G605" s="18">
        <f t="shared" si="58"/>
        <v>1.8293616745563179E-2</v>
      </c>
      <c r="J605" s="28"/>
      <c r="K605" s="8">
        <v>41782</v>
      </c>
      <c r="L605" s="5">
        <v>20745.96</v>
      </c>
      <c r="M605" s="6">
        <v>20373.27</v>
      </c>
      <c r="N605" s="6">
        <v>20756.32</v>
      </c>
      <c r="O605" s="6">
        <v>20291.919999999998</v>
      </c>
      <c r="P605" s="37">
        <v>592790</v>
      </c>
    </row>
    <row r="606" spans="2:16" ht="15" thickBot="1">
      <c r="B606" s="9">
        <f t="shared" si="59"/>
        <v>15</v>
      </c>
      <c r="C606" s="15">
        <f t="shared" si="54"/>
        <v>4</v>
      </c>
      <c r="D606" s="25">
        <f t="shared" si="55"/>
        <v>41781</v>
      </c>
      <c r="E606" s="16">
        <f t="shared" si="56"/>
        <v>1.3812349162594106E-3</v>
      </c>
      <c r="F606" s="17">
        <f t="shared" si="57"/>
        <v>-1.0915397055275E-2</v>
      </c>
      <c r="G606" s="18">
        <f t="shared" si="58"/>
        <v>-1.2296631971534411E-2</v>
      </c>
      <c r="J606" s="28"/>
      <c r="K606" s="8">
        <v>41781</v>
      </c>
      <c r="L606" s="7">
        <v>20372.68</v>
      </c>
      <c r="M606" s="6">
        <v>20625.96</v>
      </c>
      <c r="N606" s="6">
        <v>20674.98</v>
      </c>
      <c r="O606" s="6">
        <v>20242.87</v>
      </c>
      <c r="P606" s="37">
        <v>647570</v>
      </c>
    </row>
    <row r="607" spans="2:16" ht="15" thickBot="1">
      <c r="B607" s="9">
        <f t="shared" si="59"/>
        <v>14</v>
      </c>
      <c r="C607" s="15">
        <f t="shared" si="54"/>
        <v>3</v>
      </c>
      <c r="D607" s="25">
        <f t="shared" si="55"/>
        <v>41780</v>
      </c>
      <c r="E607" s="16">
        <f t="shared" si="56"/>
        <v>-4.4715736376861326E-3</v>
      </c>
      <c r="F607" s="17">
        <f t="shared" si="57"/>
        <v>1.068015711597492E-2</v>
      </c>
      <c r="G607" s="18">
        <f t="shared" si="58"/>
        <v>1.5151730753661052E-2</v>
      </c>
      <c r="J607" s="28"/>
      <c r="K607" s="8">
        <v>41780</v>
      </c>
      <c r="L607" s="5">
        <v>20597.509999999998</v>
      </c>
      <c r="M607" s="6">
        <v>20288.72</v>
      </c>
      <c r="N607" s="6">
        <v>20633.07</v>
      </c>
      <c r="O607" s="6">
        <v>20189.810000000001</v>
      </c>
      <c r="P607" s="37">
        <v>656680</v>
      </c>
    </row>
    <row r="608" spans="2:16" ht="15" thickBot="1">
      <c r="B608" s="9">
        <f t="shared" si="59"/>
        <v>13</v>
      </c>
      <c r="C608" s="15">
        <f t="shared" si="54"/>
        <v>2</v>
      </c>
      <c r="D608" s="25">
        <f t="shared" si="55"/>
        <v>41779</v>
      </c>
      <c r="E608" s="16">
        <f t="shared" si="56"/>
        <v>-9.5282811787900101E-4</v>
      </c>
      <c r="F608" s="17">
        <f t="shared" si="57"/>
        <v>3.0213904006504144E-3</v>
      </c>
      <c r="G608" s="18">
        <f t="shared" si="58"/>
        <v>3.9742185185294154E-3</v>
      </c>
      <c r="J608" s="28"/>
      <c r="K608" s="8">
        <v>41779</v>
      </c>
      <c r="L608" s="5">
        <v>20379.849999999999</v>
      </c>
      <c r="M608" s="6">
        <v>20299.099999999999</v>
      </c>
      <c r="N608" s="6">
        <v>20470.45</v>
      </c>
      <c r="O608" s="6">
        <v>20237.71</v>
      </c>
      <c r="P608" s="37">
        <v>574260</v>
      </c>
    </row>
    <row r="609" spans="2:16" ht="15" thickBot="1">
      <c r="B609" s="9">
        <f t="shared" si="59"/>
        <v>12</v>
      </c>
      <c r="C609" s="15">
        <f t="shared" si="54"/>
        <v>1</v>
      </c>
      <c r="D609" s="25">
        <f t="shared" si="55"/>
        <v>41778</v>
      </c>
      <c r="E609" s="16">
        <f t="shared" si="56"/>
        <v>-1.209525686741808E-2</v>
      </c>
      <c r="F609" s="17">
        <f t="shared" si="57"/>
        <v>-1.5988016615178124E-2</v>
      </c>
      <c r="G609" s="18">
        <f t="shared" si="58"/>
        <v>-3.892759747760044E-3</v>
      </c>
      <c r="J609" s="28"/>
      <c r="K609" s="8">
        <v>41778</v>
      </c>
      <c r="L609" s="7">
        <v>20318.46</v>
      </c>
      <c r="M609" s="6">
        <v>20398.84</v>
      </c>
      <c r="N609" s="6">
        <v>20474.560000000001</v>
      </c>
      <c r="O609" s="6">
        <v>19932.810000000001</v>
      </c>
      <c r="P609" s="37">
        <v>640900</v>
      </c>
    </row>
    <row r="610" spans="2:16" ht="15" thickBot="1">
      <c r="B610" s="9">
        <f t="shared" si="59"/>
        <v>11</v>
      </c>
      <c r="C610" s="15">
        <f t="shared" si="54"/>
        <v>5</v>
      </c>
      <c r="D610" s="25">
        <f t="shared" si="55"/>
        <v>41775</v>
      </c>
      <c r="E610" s="16">
        <f t="shared" si="56"/>
        <v>4.774819511822459E-3</v>
      </c>
      <c r="F610" s="17">
        <f t="shared" si="57"/>
        <v>1.1213235114071685E-2</v>
      </c>
      <c r="G610" s="18">
        <f t="shared" si="58"/>
        <v>6.4384156022492256E-3</v>
      </c>
      <c r="J610" s="28"/>
      <c r="K610" s="8">
        <v>41775</v>
      </c>
      <c r="L610" s="5">
        <v>20648.59</v>
      </c>
      <c r="M610" s="6">
        <v>20517.12</v>
      </c>
      <c r="N610" s="6">
        <v>20698.16</v>
      </c>
      <c r="O610" s="6">
        <v>20308.689999999999</v>
      </c>
      <c r="P610" s="37">
        <v>1040000</v>
      </c>
    </row>
    <row r="611" spans="2:16" ht="15" thickBot="1">
      <c r="B611" s="9">
        <f t="shared" si="59"/>
        <v>10</v>
      </c>
      <c r="C611" s="15">
        <f t="shared" si="54"/>
        <v>4</v>
      </c>
      <c r="D611" s="25">
        <f t="shared" si="55"/>
        <v>41774</v>
      </c>
      <c r="E611" s="16">
        <f t="shared" si="56"/>
        <v>9.9364632799314734E-4</v>
      </c>
      <c r="F611" s="17">
        <f t="shared" si="57"/>
        <v>-3.6110193253589884E-2</v>
      </c>
      <c r="G611" s="18">
        <f t="shared" si="58"/>
        <v>-3.7103839581583031E-2</v>
      </c>
      <c r="J611" s="28"/>
      <c r="K611" s="8">
        <v>41774</v>
      </c>
      <c r="L611" s="7">
        <v>20419.62</v>
      </c>
      <c r="M611" s="6">
        <v>21205.65</v>
      </c>
      <c r="N611" s="6">
        <v>21361.65</v>
      </c>
      <c r="O611" s="6">
        <v>20394.509999999998</v>
      </c>
      <c r="P611" s="37">
        <v>1290000</v>
      </c>
    </row>
    <row r="612" spans="2:16" ht="15" thickBot="1">
      <c r="B612" s="9">
        <f t="shared" si="59"/>
        <v>9</v>
      </c>
      <c r="C612" s="15">
        <f t="shared" si="54"/>
        <v>3</v>
      </c>
      <c r="D612" s="25">
        <f t="shared" si="55"/>
        <v>41773</v>
      </c>
      <c r="E612" s="16">
        <f t="shared" si="56"/>
        <v>9.4514534491230151E-4</v>
      </c>
      <c r="F612" s="17">
        <f t="shared" si="57"/>
        <v>-3.3585826865746293E-3</v>
      </c>
      <c r="G612" s="18">
        <f t="shared" si="58"/>
        <v>-4.3037280314869308E-3</v>
      </c>
      <c r="J612" s="28"/>
      <c r="K612" s="8">
        <v>41773</v>
      </c>
      <c r="L612" s="7">
        <v>21184.6</v>
      </c>
      <c r="M612" s="6">
        <v>21276.080000000002</v>
      </c>
      <c r="N612" s="6">
        <v>21317.75</v>
      </c>
      <c r="O612" s="6">
        <v>21083.24</v>
      </c>
      <c r="P612" s="37">
        <v>670170</v>
      </c>
    </row>
    <row r="613" spans="2:16" ht="15" thickBot="1">
      <c r="B613" s="9">
        <f t="shared" si="59"/>
        <v>8</v>
      </c>
      <c r="C613" s="15">
        <f t="shared" si="54"/>
        <v>2</v>
      </c>
      <c r="D613" s="25">
        <f t="shared" si="55"/>
        <v>41772</v>
      </c>
      <c r="E613" s="16">
        <f t="shared" si="56"/>
        <v>4.6757952457630036E-3</v>
      </c>
      <c r="F613" s="17">
        <f t="shared" si="57"/>
        <v>-1.1058139442914894E-2</v>
      </c>
      <c r="G613" s="18">
        <f t="shared" si="58"/>
        <v>-1.5733934688677897E-2</v>
      </c>
      <c r="J613" s="28"/>
      <c r="K613" s="8">
        <v>41772</v>
      </c>
      <c r="L613" s="7">
        <v>21255.99</v>
      </c>
      <c r="M613" s="6">
        <v>21594.17</v>
      </c>
      <c r="N613" s="6">
        <v>21608.92</v>
      </c>
      <c r="O613" s="6">
        <v>21216.67</v>
      </c>
      <c r="P613" s="37">
        <v>799570</v>
      </c>
    </row>
    <row r="614" spans="2:16" ht="15" thickBot="1">
      <c r="B614" s="9">
        <f t="shared" si="59"/>
        <v>7</v>
      </c>
      <c r="C614" s="15">
        <f t="shared" si="54"/>
        <v>1</v>
      </c>
      <c r="D614" s="25">
        <f t="shared" si="55"/>
        <v>41771</v>
      </c>
      <c r="E614" s="16">
        <f t="shared" si="56"/>
        <v>4.1897867752900275E-3</v>
      </c>
      <c r="F614" s="17">
        <f t="shared" si="57"/>
        <v>4.8414898287103547E-3</v>
      </c>
      <c r="G614" s="18">
        <f t="shared" si="58"/>
        <v>6.5170305342032719E-4</v>
      </c>
      <c r="J614" s="28"/>
      <c r="K614" s="8">
        <v>41771</v>
      </c>
      <c r="L614" s="5">
        <v>21493.67</v>
      </c>
      <c r="M614" s="6">
        <v>21479.73</v>
      </c>
      <c r="N614" s="6">
        <v>21726.93</v>
      </c>
      <c r="O614" s="6">
        <v>21422.799999999999</v>
      </c>
      <c r="P614" s="37">
        <v>731690</v>
      </c>
    </row>
    <row r="615" spans="2:16" ht="15" thickBot="1">
      <c r="B615" s="9">
        <f t="shared" si="59"/>
        <v>6</v>
      </c>
      <c r="C615" s="15">
        <f t="shared" si="54"/>
        <v>5</v>
      </c>
      <c r="D615" s="25">
        <f t="shared" si="55"/>
        <v>41768</v>
      </c>
      <c r="E615" s="16">
        <f t="shared" si="56"/>
        <v>-1.5186629875137969E-3</v>
      </c>
      <c r="F615" s="17">
        <f t="shared" si="57"/>
        <v>-1.5625201337896022E-2</v>
      </c>
      <c r="G615" s="18">
        <f t="shared" si="58"/>
        <v>-1.4106538350382225E-2</v>
      </c>
      <c r="J615" s="28"/>
      <c r="K615" s="8">
        <v>41768</v>
      </c>
      <c r="L615" s="7">
        <v>21390.11</v>
      </c>
      <c r="M615" s="6">
        <v>21696.639999999999</v>
      </c>
      <c r="N615" s="6">
        <v>21732.2</v>
      </c>
      <c r="O615" s="6">
        <v>21318.880000000001</v>
      </c>
      <c r="P615" s="37">
        <v>643290</v>
      </c>
    </row>
    <row r="616" spans="2:16" ht="15" thickBot="1">
      <c r="B616" s="9">
        <f t="shared" si="59"/>
        <v>5</v>
      </c>
      <c r="C616" s="15">
        <f t="shared" si="54"/>
        <v>4</v>
      </c>
      <c r="D616" s="25">
        <f t="shared" si="55"/>
        <v>41767</v>
      </c>
      <c r="E616" s="16">
        <f t="shared" si="56"/>
        <v>5.9776636783839265E-3</v>
      </c>
      <c r="F616" s="17">
        <f t="shared" si="57"/>
        <v>2.3017088858485968E-2</v>
      </c>
      <c r="G616" s="18">
        <f t="shared" si="58"/>
        <v>1.7039425180102041E-2</v>
      </c>
      <c r="J616" s="28"/>
      <c r="K616" s="8">
        <v>41767</v>
      </c>
      <c r="L616" s="5">
        <v>21729.64</v>
      </c>
      <c r="M616" s="6">
        <v>21367.71</v>
      </c>
      <c r="N616" s="6">
        <v>21734.97</v>
      </c>
      <c r="O616" s="6">
        <v>21351.08</v>
      </c>
      <c r="P616" s="37">
        <v>801010</v>
      </c>
    </row>
    <row r="617" spans="2:16" ht="15" thickBot="1">
      <c r="B617" s="9">
        <f t="shared" si="59"/>
        <v>4</v>
      </c>
      <c r="C617" s="15">
        <f t="shared" si="54"/>
        <v>3</v>
      </c>
      <c r="D617" s="25">
        <f t="shared" si="55"/>
        <v>41766</v>
      </c>
      <c r="E617" s="16">
        <f t="shared" si="56"/>
        <v>-2.7298092850687183E-3</v>
      </c>
      <c r="F617" s="17">
        <f t="shared" si="57"/>
        <v>-1.3052437893934732E-2</v>
      </c>
      <c r="G617" s="18">
        <f t="shared" si="58"/>
        <v>-1.0322628608866014E-2</v>
      </c>
      <c r="J617" s="28"/>
      <c r="K617" s="8">
        <v>41766</v>
      </c>
      <c r="L617" s="7">
        <v>21240.74</v>
      </c>
      <c r="M617" s="6">
        <v>21462.9</v>
      </c>
      <c r="N617" s="6">
        <v>21492.89</v>
      </c>
      <c r="O617" s="6">
        <v>21236.27</v>
      </c>
      <c r="P617" s="37">
        <v>799270</v>
      </c>
    </row>
    <row r="618" spans="2:16" ht="15" thickBot="1">
      <c r="B618" s="9">
        <f t="shared" si="59"/>
        <v>3</v>
      </c>
      <c r="C618" s="15">
        <f t="shared" si="54"/>
        <v>2</v>
      </c>
      <c r="D618" s="25">
        <f t="shared" si="55"/>
        <v>41765</v>
      </c>
      <c r="E618" s="16">
        <f t="shared" si="56"/>
        <v>3.8576781103107916E-3</v>
      </c>
      <c r="F618" s="17">
        <f t="shared" si="57"/>
        <v>-5.4672004939010366E-3</v>
      </c>
      <c r="G618" s="18">
        <f t="shared" si="58"/>
        <v>-9.3248786042118281E-3</v>
      </c>
      <c r="J618" s="28"/>
      <c r="K618" s="8">
        <v>41765</v>
      </c>
      <c r="L618" s="7">
        <v>21521.65</v>
      </c>
      <c r="M618" s="6">
        <v>21723.439999999999</v>
      </c>
      <c r="N618" s="6">
        <v>21798.49</v>
      </c>
      <c r="O618" s="6">
        <v>21473.46</v>
      </c>
      <c r="P618" s="37">
        <v>464770</v>
      </c>
    </row>
    <row r="619" spans="2:16" ht="15" thickBot="1">
      <c r="B619" s="9">
        <f t="shared" si="59"/>
        <v>2</v>
      </c>
      <c r="C619" s="15">
        <f t="shared" si="54"/>
        <v>1</v>
      </c>
      <c r="D619" s="25">
        <f t="shared" si="55"/>
        <v>41764</v>
      </c>
      <c r="E619" s="16">
        <f t="shared" si="56"/>
        <v>4.4532182536038967E-4</v>
      </c>
      <c r="F619" s="17">
        <f t="shared" si="57"/>
        <v>-6.5209806262052084E-3</v>
      </c>
      <c r="G619" s="18">
        <f t="shared" si="58"/>
        <v>-6.966302451565598E-3</v>
      </c>
      <c r="J619" s="28"/>
      <c r="K619" s="8">
        <v>41764</v>
      </c>
      <c r="L619" s="7">
        <v>21639.96</v>
      </c>
      <c r="M619" s="6">
        <v>21791.7</v>
      </c>
      <c r="N619" s="6">
        <v>21841.33</v>
      </c>
      <c r="O619" s="6">
        <v>21421.68</v>
      </c>
      <c r="P619" s="37">
        <v>482660</v>
      </c>
    </row>
    <row r="620" spans="2:16" ht="15" thickBot="1">
      <c r="B620" s="19">
        <v>1</v>
      </c>
      <c r="C620" s="15">
        <f t="shared" si="54"/>
        <v>5</v>
      </c>
      <c r="D620" s="25">
        <f t="shared" si="55"/>
        <v>41761</v>
      </c>
      <c r="E620" s="16">
        <f t="shared" si="56"/>
        <v>2.1158332637083443E-3</v>
      </c>
      <c r="F620" s="17">
        <f t="shared" si="57"/>
        <v>-6.3351050204385473E-5</v>
      </c>
      <c r="G620" s="18">
        <f t="shared" si="58"/>
        <v>-2.1791843139127298E-3</v>
      </c>
      <c r="J620" s="28"/>
      <c r="K620" s="8">
        <v>41761</v>
      </c>
      <c r="L620" s="7">
        <v>21782</v>
      </c>
      <c r="M620" s="6">
        <v>21829.47</v>
      </c>
      <c r="N620" s="6">
        <v>21945.73</v>
      </c>
      <c r="O620" s="6">
        <v>21759.65</v>
      </c>
      <c r="P620" s="37">
        <v>853290</v>
      </c>
    </row>
    <row r="621" spans="2:16" ht="15" thickBot="1">
      <c r="B621" s="9">
        <f t="shared" si="59"/>
        <v>20</v>
      </c>
      <c r="C621" s="15">
        <f t="shared" si="54"/>
        <v>3</v>
      </c>
      <c r="D621" s="25">
        <f t="shared" si="55"/>
        <v>41759</v>
      </c>
      <c r="E621" s="16">
        <f t="shared" si="56"/>
        <v>-2.1868476086644995E-3</v>
      </c>
      <c r="F621" s="17">
        <f t="shared" si="57"/>
        <v>-8.8029034201458911E-3</v>
      </c>
      <c r="G621" s="18">
        <f t="shared" si="58"/>
        <v>-6.6160558114813917E-3</v>
      </c>
      <c r="J621" s="28"/>
      <c r="K621" s="8">
        <v>41759</v>
      </c>
      <c r="L621" s="7">
        <v>21783.38</v>
      </c>
      <c r="M621" s="6">
        <v>21928.78</v>
      </c>
      <c r="N621" s="6">
        <v>21976.23</v>
      </c>
      <c r="O621" s="6">
        <v>21694</v>
      </c>
      <c r="P621" s="37">
        <v>1060000</v>
      </c>
    </row>
    <row r="622" spans="2:16" ht="15" thickBot="1">
      <c r="B622" s="9">
        <f t="shared" si="59"/>
        <v>19</v>
      </c>
      <c r="C622" s="15">
        <f t="shared" si="54"/>
        <v>2</v>
      </c>
      <c r="D622" s="25">
        <f t="shared" si="55"/>
        <v>41758</v>
      </c>
      <c r="E622" s="16">
        <f t="shared" si="56"/>
        <v>5.4281387498826827E-3</v>
      </c>
      <c r="F622" s="17">
        <f t="shared" si="57"/>
        <v>2.152197982506121E-2</v>
      </c>
      <c r="G622" s="18">
        <f t="shared" si="58"/>
        <v>1.6093841075178528E-2</v>
      </c>
      <c r="J622" s="28"/>
      <c r="K622" s="8">
        <v>41758</v>
      </c>
      <c r="L622" s="5">
        <v>21976.84</v>
      </c>
      <c r="M622" s="6">
        <v>21630.6</v>
      </c>
      <c r="N622" s="6">
        <v>21976.84</v>
      </c>
      <c r="O622" s="6">
        <v>21621.64</v>
      </c>
      <c r="P622" s="37">
        <v>799250</v>
      </c>
    </row>
    <row r="623" spans="2:16" ht="15" thickBot="1">
      <c r="B623" s="9">
        <f t="shared" si="59"/>
        <v>18</v>
      </c>
      <c r="C623" s="15">
        <f t="shared" si="54"/>
        <v>1</v>
      </c>
      <c r="D623" s="25">
        <f t="shared" si="55"/>
        <v>41757</v>
      </c>
      <c r="E623" s="16">
        <f t="shared" si="56"/>
        <v>1.5679821953336059E-3</v>
      </c>
      <c r="F623" s="17">
        <f t="shared" si="57"/>
        <v>3.3696226535651075E-3</v>
      </c>
      <c r="G623" s="18">
        <f t="shared" si="58"/>
        <v>1.8016404582315015E-3</v>
      </c>
      <c r="J623" s="28"/>
      <c r="K623" s="8">
        <v>41757</v>
      </c>
      <c r="L623" s="5">
        <v>21513.82</v>
      </c>
      <c r="M623" s="6">
        <v>21475.19</v>
      </c>
      <c r="N623" s="6">
        <v>21671.24</v>
      </c>
      <c r="O623" s="6">
        <v>21421.95</v>
      </c>
      <c r="P623" s="37">
        <v>548060</v>
      </c>
    </row>
    <row r="624" spans="2:16" ht="15" thickBot="1">
      <c r="B624" s="9">
        <f t="shared" si="59"/>
        <v>17</v>
      </c>
      <c r="C624" s="15">
        <f t="shared" si="54"/>
        <v>5</v>
      </c>
      <c r="D624" s="25">
        <f t="shared" si="55"/>
        <v>41754</v>
      </c>
      <c r="E624" s="16">
        <f t="shared" si="56"/>
        <v>-4.6481401023305002E-3</v>
      </c>
      <c r="F624" s="17">
        <f t="shared" si="57"/>
        <v>-1.7319844469254053E-2</v>
      </c>
      <c r="G624" s="18">
        <f t="shared" si="58"/>
        <v>-1.2671704366923553E-2</v>
      </c>
      <c r="J624" s="28"/>
      <c r="K624" s="8">
        <v>41754</v>
      </c>
      <c r="L624" s="7">
        <v>21441.57</v>
      </c>
      <c r="M624" s="6">
        <v>21718.06</v>
      </c>
      <c r="N624" s="6">
        <v>21805.81</v>
      </c>
      <c r="O624" s="6">
        <v>21342.94</v>
      </c>
      <c r="P624" s="37">
        <v>585470</v>
      </c>
    </row>
    <row r="625" spans="2:16" ht="15" thickBot="1">
      <c r="B625" s="9">
        <f t="shared" si="59"/>
        <v>16</v>
      </c>
      <c r="C625" s="15">
        <f t="shared" si="54"/>
        <v>4</v>
      </c>
      <c r="D625" s="25">
        <f t="shared" si="55"/>
        <v>41753</v>
      </c>
      <c r="E625" s="16">
        <f t="shared" si="56"/>
        <v>6.3434944580924579E-3</v>
      </c>
      <c r="F625" s="17">
        <f t="shared" si="57"/>
        <v>6.6309124251755502E-3</v>
      </c>
      <c r="G625" s="18">
        <f t="shared" si="58"/>
        <v>2.8741796708309231E-4</v>
      </c>
      <c r="J625" s="28"/>
      <c r="K625" s="8">
        <v>41753</v>
      </c>
      <c r="L625" s="5">
        <v>21819.48</v>
      </c>
      <c r="M625" s="6">
        <v>21813.25</v>
      </c>
      <c r="N625" s="6">
        <v>21957.68</v>
      </c>
      <c r="O625" s="6">
        <v>21535.85</v>
      </c>
      <c r="P625" s="37">
        <v>897060</v>
      </c>
    </row>
    <row r="626" spans="2:16" ht="15" thickBot="1">
      <c r="B626" s="9">
        <f t="shared" si="59"/>
        <v>15</v>
      </c>
      <c r="C626" s="15">
        <f t="shared" si="54"/>
        <v>3</v>
      </c>
      <c r="D626" s="25">
        <f t="shared" si="55"/>
        <v>41752</v>
      </c>
      <c r="E626" s="16">
        <f t="shared" si="56"/>
        <v>-5.8854797782936785E-4</v>
      </c>
      <c r="F626" s="17">
        <f t="shared" si="57"/>
        <v>-1.1834327619266505E-2</v>
      </c>
      <c r="G626" s="18">
        <f t="shared" si="58"/>
        <v>-1.1245779641437137E-2</v>
      </c>
      <c r="J626" s="28"/>
      <c r="K626" s="8">
        <v>41752</v>
      </c>
      <c r="L626" s="7">
        <v>21675.75</v>
      </c>
      <c r="M626" s="6">
        <v>21922.43</v>
      </c>
      <c r="N626" s="6">
        <v>21961.78</v>
      </c>
      <c r="O626" s="6">
        <v>21662.14</v>
      </c>
      <c r="P626" s="37">
        <v>978730</v>
      </c>
    </row>
    <row r="627" spans="2:16" ht="15" thickBot="1">
      <c r="B627" s="9">
        <f t="shared" si="59"/>
        <v>14</v>
      </c>
      <c r="C627" s="15">
        <f t="shared" si="54"/>
        <v>2</v>
      </c>
      <c r="D627" s="25">
        <f t="shared" si="55"/>
        <v>41751</v>
      </c>
      <c r="E627" s="16">
        <f t="shared" si="56"/>
        <v>5.5104958520901803E-4</v>
      </c>
      <c r="F627" s="17">
        <f t="shared" si="57"/>
        <v>1.4900084670087521E-2</v>
      </c>
      <c r="G627" s="18">
        <f t="shared" si="58"/>
        <v>1.4349035084878503E-2</v>
      </c>
      <c r="J627" s="28"/>
      <c r="K627" s="8">
        <v>41751</v>
      </c>
      <c r="L627" s="5">
        <v>21935.34</v>
      </c>
      <c r="M627" s="6">
        <v>21625.21</v>
      </c>
      <c r="N627" s="6">
        <v>21939.31</v>
      </c>
      <c r="O627" s="6">
        <v>21403.84</v>
      </c>
      <c r="P627" s="37">
        <v>933580</v>
      </c>
    </row>
    <row r="628" spans="2:16" ht="15" thickBot="1">
      <c r="B628" s="9">
        <f t="shared" si="59"/>
        <v>13</v>
      </c>
      <c r="C628" s="15">
        <f t="shared" si="54"/>
        <v>4</v>
      </c>
      <c r="D628" s="25">
        <f t="shared" si="55"/>
        <v>41746</v>
      </c>
      <c r="E628" s="16">
        <f t="shared" si="56"/>
        <v>-5.3077570338233571E-4</v>
      </c>
      <c r="F628" s="17">
        <f t="shared" si="57"/>
        <v>3.6583123282989405E-3</v>
      </c>
      <c r="G628" s="18">
        <f t="shared" si="58"/>
        <v>4.1890880316812762E-3</v>
      </c>
      <c r="J628" s="28"/>
      <c r="K628" s="8">
        <v>41746</v>
      </c>
      <c r="L628" s="5">
        <v>21613.3</v>
      </c>
      <c r="M628" s="6">
        <v>21523.09</v>
      </c>
      <c r="N628" s="6">
        <v>21613.3</v>
      </c>
      <c r="O628" s="6">
        <v>21390.94</v>
      </c>
      <c r="P628" s="37">
        <v>1120000</v>
      </c>
    </row>
    <row r="629" spans="2:16" ht="15" thickBot="1">
      <c r="B629" s="9">
        <f t="shared" si="59"/>
        <v>12</v>
      </c>
      <c r="C629" s="15">
        <f t="shared" si="54"/>
        <v>3</v>
      </c>
      <c r="D629" s="25">
        <f t="shared" si="55"/>
        <v>41745</v>
      </c>
      <c r="E629" s="16">
        <f t="shared" si="56"/>
        <v>1.1669514432335326E-2</v>
      </c>
      <c r="F629" s="17">
        <f t="shared" si="57"/>
        <v>3.4443633694551945E-2</v>
      </c>
      <c r="G629" s="18">
        <f t="shared" si="58"/>
        <v>2.2774119262216619E-2</v>
      </c>
      <c r="J629" s="28"/>
      <c r="K629" s="8">
        <v>41745</v>
      </c>
      <c r="L629" s="5">
        <v>21534.52</v>
      </c>
      <c r="M629" s="6">
        <v>21060.42</v>
      </c>
      <c r="N629" s="6">
        <v>21534.52</v>
      </c>
      <c r="O629" s="6">
        <v>21048.78</v>
      </c>
      <c r="P629" s="37">
        <v>1280000</v>
      </c>
    </row>
    <row r="630" spans="2:16" ht="15" thickBot="1">
      <c r="B630" s="9">
        <f t="shared" si="59"/>
        <v>11</v>
      </c>
      <c r="C630" s="15">
        <f t="shared" si="54"/>
        <v>2</v>
      </c>
      <c r="D630" s="25">
        <f t="shared" si="55"/>
        <v>41744</v>
      </c>
      <c r="E630" s="16">
        <f t="shared" si="56"/>
        <v>5.7566283329335555E-4</v>
      </c>
      <c r="F630" s="17">
        <f t="shared" si="57"/>
        <v>-2.3320678447033338E-2</v>
      </c>
      <c r="G630" s="18">
        <f t="shared" si="58"/>
        <v>-2.3896341280326694E-2</v>
      </c>
      <c r="J630" s="28"/>
      <c r="K630" s="8">
        <v>41744</v>
      </c>
      <c r="L630" s="7">
        <v>20817.490000000002</v>
      </c>
      <c r="M630" s="6">
        <v>21326.83</v>
      </c>
      <c r="N630" s="6">
        <v>21331.86</v>
      </c>
      <c r="O630" s="6">
        <v>20817.490000000002</v>
      </c>
      <c r="P630" s="37">
        <v>1780000</v>
      </c>
    </row>
    <row r="631" spans="2:16" ht="15" thickBot="1">
      <c r="B631" s="9">
        <f t="shared" si="59"/>
        <v>10</v>
      </c>
      <c r="C631" s="15">
        <f t="shared" si="54"/>
        <v>1</v>
      </c>
      <c r="D631" s="25">
        <f t="shared" si="55"/>
        <v>41743</v>
      </c>
      <c r="E631" s="16">
        <f t="shared" si="56"/>
        <v>-2.7355334903549355E-3</v>
      </c>
      <c r="F631" s="17">
        <f t="shared" si="57"/>
        <v>5.4611607549299723E-3</v>
      </c>
      <c r="G631" s="18">
        <f t="shared" si="58"/>
        <v>8.1966942452849079E-3</v>
      </c>
      <c r="J631" s="28"/>
      <c r="K631" s="8">
        <v>41743</v>
      </c>
      <c r="L631" s="5">
        <v>21314.560000000001</v>
      </c>
      <c r="M631" s="6">
        <v>21140.799999999999</v>
      </c>
      <c r="N631" s="6">
        <v>21323.54</v>
      </c>
      <c r="O631" s="6">
        <v>20932.099999999999</v>
      </c>
      <c r="P631" s="37">
        <v>1300000</v>
      </c>
    </row>
    <row r="632" spans="2:16" ht="15" thickBot="1">
      <c r="B632" s="9">
        <f t="shared" si="59"/>
        <v>9</v>
      </c>
      <c r="C632" s="15">
        <f t="shared" si="54"/>
        <v>5</v>
      </c>
      <c r="D632" s="25">
        <f t="shared" si="55"/>
        <v>41740</v>
      </c>
      <c r="E632" s="16">
        <f t="shared" si="56"/>
        <v>-6.6069067795226921E-3</v>
      </c>
      <c r="F632" s="17">
        <f t="shared" si="57"/>
        <v>-1.0747073254160577E-2</v>
      </c>
      <c r="G632" s="18">
        <f t="shared" si="58"/>
        <v>-4.1401664746378852E-3</v>
      </c>
      <c r="J632" s="28"/>
      <c r="K632" s="8">
        <v>41740</v>
      </c>
      <c r="L632" s="7">
        <v>21198.79</v>
      </c>
      <c r="M632" s="6">
        <v>21287.51</v>
      </c>
      <c r="N632" s="6">
        <v>21415.24</v>
      </c>
      <c r="O632" s="6">
        <v>21063.119999999999</v>
      </c>
      <c r="P632" s="37">
        <v>1340000</v>
      </c>
    </row>
    <row r="633" spans="2:16" ht="15" thickBot="1">
      <c r="B633" s="9">
        <f t="shared" si="59"/>
        <v>8</v>
      </c>
      <c r="C633" s="15">
        <f t="shared" si="54"/>
        <v>4</v>
      </c>
      <c r="D633" s="25">
        <f t="shared" si="55"/>
        <v>41739</v>
      </c>
      <c r="E633" s="16">
        <f t="shared" si="56"/>
        <v>5.0241699828061925E-3</v>
      </c>
      <c r="F633" s="17">
        <f t="shared" si="57"/>
        <v>-1.325826471587721E-2</v>
      </c>
      <c r="G633" s="18">
        <f t="shared" si="58"/>
        <v>-1.8282434698683403E-2</v>
      </c>
      <c r="J633" s="28"/>
      <c r="K633" s="8">
        <v>41739</v>
      </c>
      <c r="L633" s="7">
        <v>21429.09</v>
      </c>
      <c r="M633" s="6">
        <v>21826.13</v>
      </c>
      <c r="N633" s="6">
        <v>21876.76</v>
      </c>
      <c r="O633" s="6">
        <v>21429.09</v>
      </c>
      <c r="P633" s="37">
        <v>1240000</v>
      </c>
    </row>
    <row r="634" spans="2:16" ht="15" thickBot="1">
      <c r="B634" s="9">
        <f t="shared" si="59"/>
        <v>7</v>
      </c>
      <c r="C634" s="15">
        <f t="shared" si="54"/>
        <v>3</v>
      </c>
      <c r="D634" s="25">
        <f t="shared" si="55"/>
        <v>41738</v>
      </c>
      <c r="E634" s="16">
        <f t="shared" si="56"/>
        <v>2.672721944150247E-3</v>
      </c>
      <c r="F634" s="17">
        <f t="shared" si="57"/>
        <v>2.3062668891242755E-3</v>
      </c>
      <c r="G634" s="18">
        <f t="shared" si="58"/>
        <v>-3.6645505502597153E-4</v>
      </c>
      <c r="J634" s="28"/>
      <c r="K634" s="8">
        <v>41738</v>
      </c>
      <c r="L634" s="5">
        <v>21717.02</v>
      </c>
      <c r="M634" s="6">
        <v>21724.959999999999</v>
      </c>
      <c r="N634" s="6">
        <v>21887.52</v>
      </c>
      <c r="O634" s="6">
        <v>21610.48</v>
      </c>
      <c r="P634" s="37">
        <v>1010000</v>
      </c>
    </row>
    <row r="635" spans="2:16" ht="15" thickBot="1">
      <c r="B635" s="9">
        <f t="shared" si="59"/>
        <v>6</v>
      </c>
      <c r="C635" s="15">
        <f t="shared" si="54"/>
        <v>2</v>
      </c>
      <c r="D635" s="25">
        <f t="shared" si="55"/>
        <v>41737</v>
      </c>
      <c r="E635" s="16">
        <f t="shared" si="56"/>
        <v>4.7120428372491308E-3</v>
      </c>
      <c r="F635" s="17">
        <f t="shared" si="57"/>
        <v>-1.4611835181737254E-2</v>
      </c>
      <c r="G635" s="18">
        <f t="shared" si="58"/>
        <v>-1.9323878018986385E-2</v>
      </c>
      <c r="J635" s="28"/>
      <c r="K635" s="8">
        <v>41737</v>
      </c>
      <c r="L635" s="7">
        <v>21667.05</v>
      </c>
      <c r="M635" s="6">
        <v>22091.95</v>
      </c>
      <c r="N635" s="6">
        <v>22105.16</v>
      </c>
      <c r="O635" s="6">
        <v>21544.74</v>
      </c>
      <c r="P635" s="37">
        <v>1420000</v>
      </c>
    </row>
    <row r="636" spans="2:16" ht="15" thickBot="1">
      <c r="B636" s="9">
        <f t="shared" si="59"/>
        <v>5</v>
      </c>
      <c r="C636" s="15">
        <f t="shared" ref="C636:C699" si="60">WEEKDAY(D636,2)</f>
        <v>1</v>
      </c>
      <c r="D636" s="25">
        <f t="shared" ref="D636:D699" si="61">K636</f>
        <v>41736</v>
      </c>
      <c r="E636" s="16">
        <f t="shared" ref="E636:E699" si="62">M636/L637-1</f>
        <v>-8.057548246982682E-3</v>
      </c>
      <c r="F636" s="17">
        <f t="shared" ref="F636:F699" si="63">L636/L637-1</f>
        <v>-8.4390506992407799E-3</v>
      </c>
      <c r="G636" s="18">
        <f t="shared" ref="G636:G699" si="64">F636-E636</f>
        <v>-3.8150245225809787E-4</v>
      </c>
      <c r="J636" s="28"/>
      <c r="K636" s="8">
        <v>41736</v>
      </c>
      <c r="L636" s="7">
        <v>21988.34</v>
      </c>
      <c r="M636" s="6">
        <v>21996.799999999999</v>
      </c>
      <c r="N636" s="6">
        <v>22173.22</v>
      </c>
      <c r="O636" s="6">
        <v>21841.56</v>
      </c>
      <c r="P636" s="37">
        <v>1120000</v>
      </c>
    </row>
    <row r="637" spans="2:16" ht="15" thickBot="1">
      <c r="B637" s="9">
        <f t="shared" si="59"/>
        <v>4</v>
      </c>
      <c r="C637" s="15">
        <f t="shared" si="60"/>
        <v>5</v>
      </c>
      <c r="D637" s="25">
        <f t="shared" si="61"/>
        <v>41733</v>
      </c>
      <c r="E637" s="16">
        <f t="shared" si="62"/>
        <v>1.2991040410912369E-3</v>
      </c>
      <c r="F637" s="17">
        <f t="shared" si="63"/>
        <v>8.3393658080543887E-3</v>
      </c>
      <c r="G637" s="18">
        <f t="shared" si="64"/>
        <v>7.0402617669631518E-3</v>
      </c>
      <c r="J637" s="28"/>
      <c r="K637" s="8">
        <v>41733</v>
      </c>
      <c r="L637" s="5">
        <v>22175.48</v>
      </c>
      <c r="M637" s="6">
        <v>22020.65</v>
      </c>
      <c r="N637" s="6">
        <v>22210.34</v>
      </c>
      <c r="O637" s="6">
        <v>21944.03</v>
      </c>
      <c r="P637" s="37">
        <v>1200000</v>
      </c>
    </row>
    <row r="638" spans="2:16" ht="15" thickBot="1">
      <c r="B638" s="9">
        <f t="shared" si="59"/>
        <v>3</v>
      </c>
      <c r="C638" s="15">
        <f t="shared" si="60"/>
        <v>4</v>
      </c>
      <c r="D638" s="25">
        <f t="shared" si="61"/>
        <v>41732</v>
      </c>
      <c r="E638" s="16">
        <f t="shared" si="62"/>
        <v>1.6844888724159013E-3</v>
      </c>
      <c r="F638" s="17">
        <f t="shared" si="63"/>
        <v>1.3831801895995088E-2</v>
      </c>
      <c r="G638" s="18">
        <f t="shared" si="64"/>
        <v>1.2147313023579187E-2</v>
      </c>
      <c r="J638" s="28"/>
      <c r="K638" s="8">
        <v>41732</v>
      </c>
      <c r="L638" s="5">
        <v>21992.080000000002</v>
      </c>
      <c r="M638" s="6">
        <v>21728.58</v>
      </c>
      <c r="N638" s="6">
        <v>22042.18</v>
      </c>
      <c r="O638" s="6">
        <v>21643.71</v>
      </c>
      <c r="P638" s="37">
        <v>1510000</v>
      </c>
    </row>
    <row r="639" spans="2:16" ht="15" thickBot="1">
      <c r="B639" s="9">
        <f t="shared" si="59"/>
        <v>2</v>
      </c>
      <c r="C639" s="15">
        <f t="shared" si="60"/>
        <v>3</v>
      </c>
      <c r="D639" s="25">
        <f t="shared" si="61"/>
        <v>41731</v>
      </c>
      <c r="E639" s="16">
        <f t="shared" si="62"/>
        <v>4.0482929591552086E-3</v>
      </c>
      <c r="F639" s="17">
        <f t="shared" si="63"/>
        <v>-1.0192371486547502E-2</v>
      </c>
      <c r="G639" s="18">
        <f t="shared" si="64"/>
        <v>-1.4240664445702711E-2</v>
      </c>
      <c r="J639" s="28"/>
      <c r="K639" s="8">
        <v>41731</v>
      </c>
      <c r="L639" s="7">
        <v>21692.04</v>
      </c>
      <c r="M639" s="6">
        <v>22004.13</v>
      </c>
      <c r="N639" s="6">
        <v>22060.02</v>
      </c>
      <c r="O639" s="6">
        <v>21664.799999999999</v>
      </c>
      <c r="P639" s="37">
        <v>1930000</v>
      </c>
    </row>
    <row r="640" spans="2:16" ht="15" thickBot="1">
      <c r="B640" s="19">
        <v>1</v>
      </c>
      <c r="C640" s="15">
        <f t="shared" si="60"/>
        <v>2</v>
      </c>
      <c r="D640" s="25">
        <f t="shared" si="61"/>
        <v>41730</v>
      </c>
      <c r="E640" s="16">
        <f t="shared" si="62"/>
        <v>2.1685493953509383E-3</v>
      </c>
      <c r="F640" s="17">
        <f t="shared" si="63"/>
        <v>1.0302914633651739E-2</v>
      </c>
      <c r="G640" s="18">
        <f t="shared" si="64"/>
        <v>8.1343652383008003E-3</v>
      </c>
      <c r="J640" s="28"/>
      <c r="K640" s="8">
        <v>41730</v>
      </c>
      <c r="L640" s="5">
        <v>21915.41</v>
      </c>
      <c r="M640" s="6">
        <v>21738.959999999999</v>
      </c>
      <c r="N640" s="6">
        <v>21939.5</v>
      </c>
      <c r="O640" s="6">
        <v>21711.21</v>
      </c>
      <c r="P640" s="37">
        <v>1740000</v>
      </c>
    </row>
    <row r="641" spans="2:16" ht="15" thickBot="1">
      <c r="B641" s="9">
        <f t="shared" si="59"/>
        <v>21</v>
      </c>
      <c r="C641" s="15">
        <f t="shared" si="60"/>
        <v>1</v>
      </c>
      <c r="D641" s="25">
        <f t="shared" si="61"/>
        <v>41729</v>
      </c>
      <c r="E641" s="16">
        <f t="shared" si="62"/>
        <v>5.4818440951445169E-3</v>
      </c>
      <c r="F641" s="17">
        <f t="shared" si="63"/>
        <v>9.009109582923891E-3</v>
      </c>
      <c r="G641" s="18">
        <f t="shared" si="64"/>
        <v>3.5272654877793741E-3</v>
      </c>
      <c r="J641" s="28"/>
      <c r="K641" s="8">
        <v>41729</v>
      </c>
      <c r="L641" s="5">
        <v>21691.919999999998</v>
      </c>
      <c r="M641" s="6">
        <v>21616.09</v>
      </c>
      <c r="N641" s="6">
        <v>21729.74</v>
      </c>
      <c r="O641" s="6">
        <v>21549.17</v>
      </c>
      <c r="P641" s="37">
        <v>1940000</v>
      </c>
    </row>
    <row r="642" spans="2:16" ht="15" thickBot="1">
      <c r="B642" s="9">
        <f t="shared" si="59"/>
        <v>20</v>
      </c>
      <c r="C642" s="15">
        <f t="shared" si="60"/>
        <v>5</v>
      </c>
      <c r="D642" s="25">
        <f t="shared" si="61"/>
        <v>41726</v>
      </c>
      <c r="E642" s="16">
        <f t="shared" si="62"/>
        <v>6.5117904590084041E-3</v>
      </c>
      <c r="F642" s="17">
        <f t="shared" si="63"/>
        <v>1.5317914980235159E-2</v>
      </c>
      <c r="G642" s="18">
        <f t="shared" si="64"/>
        <v>8.8061245212267547E-3</v>
      </c>
      <c r="J642" s="28"/>
      <c r="K642" s="8">
        <v>41726</v>
      </c>
      <c r="L642" s="5">
        <v>21498.240000000002</v>
      </c>
      <c r="M642" s="6">
        <v>21311.78</v>
      </c>
      <c r="N642" s="6">
        <v>21526.34</v>
      </c>
      <c r="O642" s="6">
        <v>21256.05</v>
      </c>
      <c r="P642" s="37">
        <v>1630000</v>
      </c>
    </row>
    <row r="643" spans="2:16" ht="15" thickBot="1">
      <c r="B643" s="9">
        <f t="shared" si="59"/>
        <v>19</v>
      </c>
      <c r="C643" s="15">
        <f t="shared" si="60"/>
        <v>4</v>
      </c>
      <c r="D643" s="25">
        <f t="shared" si="61"/>
        <v>41725</v>
      </c>
      <c r="E643" s="16">
        <f t="shared" si="62"/>
        <v>-2.8581377335294977E-3</v>
      </c>
      <c r="F643" s="17">
        <f t="shared" si="63"/>
        <v>3.1149105914065611E-3</v>
      </c>
      <c r="G643" s="18">
        <f t="shared" si="64"/>
        <v>5.9730483249360589E-3</v>
      </c>
      <c r="J643" s="28"/>
      <c r="K643" s="8">
        <v>41725</v>
      </c>
      <c r="L643" s="5">
        <v>21173.9</v>
      </c>
      <c r="M643" s="6">
        <v>21047.82</v>
      </c>
      <c r="N643" s="6">
        <v>21173.9</v>
      </c>
      <c r="O643" s="6">
        <v>21011.16</v>
      </c>
      <c r="P643" s="37">
        <v>786060</v>
      </c>
    </row>
    <row r="644" spans="2:16" ht="15" thickBot="1">
      <c r="B644" s="9">
        <f t="shared" si="59"/>
        <v>18</v>
      </c>
      <c r="C644" s="15">
        <f t="shared" si="60"/>
        <v>3</v>
      </c>
      <c r="D644" s="25">
        <f t="shared" si="61"/>
        <v>41724</v>
      </c>
      <c r="E644" s="16">
        <f t="shared" si="62"/>
        <v>3.6469008546251569E-3</v>
      </c>
      <c r="F644" s="17">
        <f t="shared" si="63"/>
        <v>1.3686203246769502E-2</v>
      </c>
      <c r="G644" s="18">
        <f t="shared" si="64"/>
        <v>1.0039302392144345E-2</v>
      </c>
      <c r="J644" s="28"/>
      <c r="K644" s="8">
        <v>41724</v>
      </c>
      <c r="L644" s="5">
        <v>21108.15</v>
      </c>
      <c r="M644" s="6">
        <v>20899.099999999999</v>
      </c>
      <c r="N644" s="6">
        <v>21108.15</v>
      </c>
      <c r="O644" s="6">
        <v>20857.73</v>
      </c>
      <c r="P644" s="37">
        <v>931600</v>
      </c>
    </row>
    <row r="645" spans="2:16" ht="15" thickBot="1">
      <c r="B645" s="9">
        <f t="shared" si="59"/>
        <v>17</v>
      </c>
      <c r="C645" s="15">
        <f t="shared" si="60"/>
        <v>2</v>
      </c>
      <c r="D645" s="25">
        <f t="shared" si="61"/>
        <v>41723</v>
      </c>
      <c r="E645" s="16">
        <f t="shared" si="62"/>
        <v>5.3178956472668126E-3</v>
      </c>
      <c r="F645" s="17">
        <f t="shared" si="63"/>
        <v>9.5304214271099141E-3</v>
      </c>
      <c r="G645" s="18">
        <f t="shared" si="64"/>
        <v>4.2125257798431015E-3</v>
      </c>
      <c r="J645" s="28"/>
      <c r="K645" s="8">
        <v>41723</v>
      </c>
      <c r="L645" s="5">
        <v>20823.16</v>
      </c>
      <c r="M645" s="6">
        <v>20736.27</v>
      </c>
      <c r="N645" s="6">
        <v>20928.560000000001</v>
      </c>
      <c r="O645" s="6">
        <v>20665.419999999998</v>
      </c>
      <c r="P645" s="37">
        <v>819390</v>
      </c>
    </row>
    <row r="646" spans="2:16" ht="15" thickBot="1">
      <c r="B646" s="9">
        <f t="shared" ref="B646:B709" si="65">B647+1</f>
        <v>16</v>
      </c>
      <c r="C646" s="15">
        <f t="shared" si="60"/>
        <v>1</v>
      </c>
      <c r="D646" s="25">
        <f t="shared" si="61"/>
        <v>41722</v>
      </c>
      <c r="E646" s="16">
        <f t="shared" si="62"/>
        <v>-9.7795943590206491E-4</v>
      </c>
      <c r="F646" s="17">
        <f t="shared" si="63"/>
        <v>-1.6481787353186839E-2</v>
      </c>
      <c r="G646" s="18">
        <f t="shared" si="64"/>
        <v>-1.5503827917284774E-2</v>
      </c>
      <c r="J646" s="28"/>
      <c r="K646" s="8">
        <v>41722</v>
      </c>
      <c r="L646" s="7">
        <v>20626.580000000002</v>
      </c>
      <c r="M646" s="6">
        <v>20951.73</v>
      </c>
      <c r="N646" s="6">
        <v>21049.99</v>
      </c>
      <c r="O646" s="6">
        <v>20626.580000000002</v>
      </c>
      <c r="P646" s="37">
        <v>959650</v>
      </c>
    </row>
    <row r="647" spans="2:16" ht="15" thickBot="1">
      <c r="B647" s="9">
        <f t="shared" si="65"/>
        <v>15</v>
      </c>
      <c r="C647" s="15">
        <f t="shared" si="60"/>
        <v>5</v>
      </c>
      <c r="D647" s="25">
        <f t="shared" si="61"/>
        <v>41719</v>
      </c>
      <c r="E647" s="16">
        <f t="shared" si="62"/>
        <v>1.9578572413925244E-4</v>
      </c>
      <c r="F647" s="17">
        <f t="shared" si="63"/>
        <v>-5.7953522460130191E-3</v>
      </c>
      <c r="G647" s="18">
        <f t="shared" si="64"/>
        <v>-5.9911379701522716E-3</v>
      </c>
      <c r="J647" s="28"/>
      <c r="K647" s="8">
        <v>41719</v>
      </c>
      <c r="L647" s="7">
        <v>20972.240000000002</v>
      </c>
      <c r="M647" s="6">
        <v>21098.62</v>
      </c>
      <c r="N647" s="6">
        <v>21204.32</v>
      </c>
      <c r="O647" s="6">
        <v>20972.240000000002</v>
      </c>
      <c r="P647" s="37">
        <v>1400000</v>
      </c>
    </row>
    <row r="648" spans="2:16" ht="15" thickBot="1">
      <c r="B648" s="9">
        <f t="shared" si="65"/>
        <v>14</v>
      </c>
      <c r="C648" s="15">
        <f t="shared" si="60"/>
        <v>4</v>
      </c>
      <c r="D648" s="25">
        <f t="shared" si="61"/>
        <v>41718</v>
      </c>
      <c r="E648" s="16">
        <f t="shared" si="62"/>
        <v>-7.4443473539339555E-3</v>
      </c>
      <c r="F648" s="17">
        <f t="shared" si="63"/>
        <v>5.6013756025055095E-3</v>
      </c>
      <c r="G648" s="18">
        <f t="shared" si="64"/>
        <v>1.3045722956439465E-2</v>
      </c>
      <c r="J648" s="28"/>
      <c r="K648" s="8">
        <v>41718</v>
      </c>
      <c r="L648" s="5">
        <v>21094.49</v>
      </c>
      <c r="M648" s="6">
        <v>20820.830000000002</v>
      </c>
      <c r="N648" s="6">
        <v>21101.07</v>
      </c>
      <c r="O648" s="6">
        <v>20810.060000000001</v>
      </c>
      <c r="P648" s="37">
        <v>1280000</v>
      </c>
    </row>
    <row r="649" spans="2:16" ht="15" thickBot="1">
      <c r="B649" s="9">
        <f t="shared" si="65"/>
        <v>13</v>
      </c>
      <c r="C649" s="15">
        <f t="shared" si="60"/>
        <v>3</v>
      </c>
      <c r="D649" s="25">
        <f t="shared" si="61"/>
        <v>41717</v>
      </c>
      <c r="E649" s="16">
        <f t="shared" si="62"/>
        <v>-1.6826670558023338E-4</v>
      </c>
      <c r="F649" s="17">
        <f t="shared" si="63"/>
        <v>-2.9014123470685327E-3</v>
      </c>
      <c r="G649" s="18">
        <f t="shared" si="64"/>
        <v>-2.7331456414882993E-3</v>
      </c>
      <c r="J649" s="28"/>
      <c r="K649" s="8">
        <v>41717</v>
      </c>
      <c r="L649" s="7">
        <v>20976.99</v>
      </c>
      <c r="M649" s="6">
        <v>21034.49</v>
      </c>
      <c r="N649" s="6">
        <v>21079.15</v>
      </c>
      <c r="O649" s="6">
        <v>20915.34</v>
      </c>
      <c r="P649" s="37">
        <v>1950000</v>
      </c>
    </row>
    <row r="650" spans="2:16" ht="15" thickBot="1">
      <c r="B650" s="9">
        <f t="shared" si="65"/>
        <v>12</v>
      </c>
      <c r="C650" s="15">
        <f t="shared" si="60"/>
        <v>2</v>
      </c>
      <c r="D650" s="25">
        <f t="shared" si="61"/>
        <v>41716</v>
      </c>
      <c r="E650" s="16">
        <f t="shared" si="62"/>
        <v>-1.2761975258450686E-3</v>
      </c>
      <c r="F650" s="17">
        <f t="shared" si="63"/>
        <v>8.5906023537263287E-3</v>
      </c>
      <c r="G650" s="18">
        <f t="shared" si="64"/>
        <v>9.8667998795713974E-3</v>
      </c>
      <c r="J650" s="28"/>
      <c r="K650" s="8">
        <v>41716</v>
      </c>
      <c r="L650" s="5">
        <v>21038.03</v>
      </c>
      <c r="M650" s="6">
        <v>20832.22</v>
      </c>
      <c r="N650" s="6">
        <v>21179.71</v>
      </c>
      <c r="O650" s="6">
        <v>20726.560000000001</v>
      </c>
      <c r="P650" s="37">
        <v>1590000</v>
      </c>
    </row>
    <row r="651" spans="2:16" ht="15" thickBot="1">
      <c r="B651" s="9">
        <f t="shared" si="65"/>
        <v>11</v>
      </c>
      <c r="C651" s="15">
        <f t="shared" si="60"/>
        <v>1</v>
      </c>
      <c r="D651" s="25">
        <f t="shared" si="61"/>
        <v>41715</v>
      </c>
      <c r="E651" s="16">
        <f t="shared" si="62"/>
        <v>3.4094198678205068E-3</v>
      </c>
      <c r="F651" s="17">
        <f t="shared" si="63"/>
        <v>2.5177216602110253E-2</v>
      </c>
      <c r="G651" s="18">
        <f t="shared" si="64"/>
        <v>2.1767796734289746E-2</v>
      </c>
      <c r="J651" s="28"/>
      <c r="K651" s="8">
        <v>41715</v>
      </c>
      <c r="L651" s="5">
        <v>20858.84</v>
      </c>
      <c r="M651" s="6">
        <v>20415.939999999999</v>
      </c>
      <c r="N651" s="6">
        <v>20858.84</v>
      </c>
      <c r="O651" s="6">
        <v>20415.45</v>
      </c>
      <c r="P651" s="37">
        <v>1140000</v>
      </c>
    </row>
    <row r="652" spans="2:16" ht="15" thickBot="1">
      <c r="B652" s="9">
        <f t="shared" si="65"/>
        <v>10</v>
      </c>
      <c r="C652" s="15">
        <f t="shared" si="60"/>
        <v>5</v>
      </c>
      <c r="D652" s="25">
        <f t="shared" si="61"/>
        <v>41712</v>
      </c>
      <c r="E652" s="16">
        <f t="shared" si="62"/>
        <v>-7.8497189660748923E-3</v>
      </c>
      <c r="F652" s="17">
        <f t="shared" si="63"/>
        <v>-1.1910069143961088E-2</v>
      </c>
      <c r="G652" s="18">
        <f t="shared" si="64"/>
        <v>-4.0603501778861961E-3</v>
      </c>
      <c r="J652" s="28"/>
      <c r="K652" s="8">
        <v>41712</v>
      </c>
      <c r="L652" s="7">
        <v>20346.57</v>
      </c>
      <c r="M652" s="6">
        <v>20430.18</v>
      </c>
      <c r="N652" s="6">
        <v>20579.84</v>
      </c>
      <c r="O652" s="6">
        <v>20111.77</v>
      </c>
      <c r="P652" s="37">
        <v>1670000</v>
      </c>
    </row>
    <row r="653" spans="2:16" ht="15" thickBot="1">
      <c r="B653" s="9">
        <f t="shared" si="65"/>
        <v>9</v>
      </c>
      <c r="C653" s="15">
        <f t="shared" si="60"/>
        <v>4</v>
      </c>
      <c r="D653" s="25">
        <f t="shared" si="61"/>
        <v>41711</v>
      </c>
      <c r="E653" s="16">
        <f t="shared" si="62"/>
        <v>3.5897381608416268E-3</v>
      </c>
      <c r="F653" s="17">
        <f t="shared" si="63"/>
        <v>-9.1254416195973853E-3</v>
      </c>
      <c r="G653" s="18">
        <f t="shared" si="64"/>
        <v>-1.2715179780439012E-2</v>
      </c>
      <c r="J653" s="28"/>
      <c r="K653" s="8">
        <v>41711</v>
      </c>
      <c r="L653" s="7">
        <v>20591.82</v>
      </c>
      <c r="M653" s="6">
        <v>20856.060000000001</v>
      </c>
      <c r="N653" s="6">
        <v>20971.02</v>
      </c>
      <c r="O653" s="6">
        <v>20591.82</v>
      </c>
      <c r="P653" s="37">
        <v>1250000</v>
      </c>
    </row>
    <row r="654" spans="2:16" ht="15" thickBot="1">
      <c r="B654" s="9">
        <f t="shared" si="65"/>
        <v>8</v>
      </c>
      <c r="C654" s="15">
        <f t="shared" si="60"/>
        <v>3</v>
      </c>
      <c r="D654" s="25">
        <f t="shared" si="61"/>
        <v>41710</v>
      </c>
      <c r="E654" s="16">
        <f t="shared" si="62"/>
        <v>-4.2800394740882819E-3</v>
      </c>
      <c r="F654" s="17">
        <f t="shared" si="63"/>
        <v>-2.5180090928639265E-3</v>
      </c>
      <c r="G654" s="18">
        <f t="shared" si="64"/>
        <v>1.7620303812243554E-3</v>
      </c>
      <c r="J654" s="28"/>
      <c r="K654" s="8">
        <v>41710</v>
      </c>
      <c r="L654" s="7">
        <v>20781.46</v>
      </c>
      <c r="M654" s="6">
        <v>20744.75</v>
      </c>
      <c r="N654" s="6">
        <v>20845.29</v>
      </c>
      <c r="O654" s="6">
        <v>20644.849999999999</v>
      </c>
      <c r="P654" s="37">
        <v>1570000</v>
      </c>
    </row>
    <row r="655" spans="2:16" ht="15" thickBot="1">
      <c r="B655" s="9">
        <f t="shared" si="65"/>
        <v>7</v>
      </c>
      <c r="C655" s="15">
        <f t="shared" si="60"/>
        <v>2</v>
      </c>
      <c r="D655" s="25">
        <f t="shared" si="61"/>
        <v>41709</v>
      </c>
      <c r="E655" s="16">
        <f t="shared" si="62"/>
        <v>3.2862148587025075E-3</v>
      </c>
      <c r="F655" s="17">
        <f t="shared" si="63"/>
        <v>3.8817810706313072E-3</v>
      </c>
      <c r="G655" s="18">
        <f t="shared" si="64"/>
        <v>5.9556621192879966E-4</v>
      </c>
      <c r="J655" s="28"/>
      <c r="K655" s="8">
        <v>41709</v>
      </c>
      <c r="L655" s="5">
        <v>20833.919999999998</v>
      </c>
      <c r="M655" s="6">
        <v>20821.560000000001</v>
      </c>
      <c r="N655" s="6">
        <v>20984.639999999999</v>
      </c>
      <c r="O655" s="6">
        <v>20694.560000000001</v>
      </c>
      <c r="P655" s="37">
        <v>1210000</v>
      </c>
    </row>
    <row r="656" spans="2:16" ht="15" thickBot="1">
      <c r="B656" s="9">
        <f t="shared" si="65"/>
        <v>6</v>
      </c>
      <c r="C656" s="15">
        <f t="shared" si="60"/>
        <v>1</v>
      </c>
      <c r="D656" s="25">
        <f t="shared" si="61"/>
        <v>41708</v>
      </c>
      <c r="E656" s="16">
        <f t="shared" si="62"/>
        <v>-6.6927689502038756E-4</v>
      </c>
      <c r="F656" s="17">
        <f t="shared" si="63"/>
        <v>5.774391168840598E-3</v>
      </c>
      <c r="G656" s="18">
        <f t="shared" si="64"/>
        <v>6.4436680638609856E-3</v>
      </c>
      <c r="J656" s="28"/>
      <c r="K656" s="8">
        <v>41708</v>
      </c>
      <c r="L656" s="5">
        <v>20753.36</v>
      </c>
      <c r="M656" s="6">
        <v>20620.400000000001</v>
      </c>
      <c r="N656" s="6">
        <v>20847.66</v>
      </c>
      <c r="O656" s="6">
        <v>20564.3</v>
      </c>
      <c r="P656" s="37">
        <v>1060000</v>
      </c>
    </row>
    <row r="657" spans="2:16" ht="15" thickBot="1">
      <c r="B657" s="9">
        <f t="shared" si="65"/>
        <v>5</v>
      </c>
      <c r="C657" s="15">
        <f t="shared" si="60"/>
        <v>5</v>
      </c>
      <c r="D657" s="25">
        <f t="shared" si="61"/>
        <v>41705</v>
      </c>
      <c r="E657" s="16">
        <f t="shared" si="62"/>
        <v>7.0064137479275423E-4</v>
      </c>
      <c r="F657" s="17">
        <f t="shared" si="63"/>
        <v>-9.7821053313530415E-3</v>
      </c>
      <c r="G657" s="18">
        <f t="shared" si="64"/>
        <v>-1.0482746706145796E-2</v>
      </c>
      <c r="J657" s="28"/>
      <c r="K657" s="8">
        <v>41705</v>
      </c>
      <c r="L657" s="7">
        <v>20634.21</v>
      </c>
      <c r="M657" s="6">
        <v>20852.650000000001</v>
      </c>
      <c r="N657" s="6">
        <v>20876.43</v>
      </c>
      <c r="O657" s="6">
        <v>20625.13</v>
      </c>
      <c r="P657" s="37">
        <v>1490000</v>
      </c>
    </row>
    <row r="658" spans="2:16" ht="15" thickBot="1">
      <c r="B658" s="9">
        <f t="shared" si="65"/>
        <v>4</v>
      </c>
      <c r="C658" s="15">
        <f t="shared" si="60"/>
        <v>4</v>
      </c>
      <c r="D658" s="25">
        <f t="shared" si="61"/>
        <v>41704</v>
      </c>
      <c r="E658" s="16">
        <f t="shared" si="62"/>
        <v>3.7727122722750472E-3</v>
      </c>
      <c r="F658" s="17">
        <f t="shared" si="63"/>
        <v>3.9071250834057381E-3</v>
      </c>
      <c r="G658" s="18">
        <f t="shared" si="64"/>
        <v>1.3441281113069081E-4</v>
      </c>
      <c r="J658" s="28"/>
      <c r="K658" s="8">
        <v>41704</v>
      </c>
      <c r="L658" s="5">
        <v>20838.05</v>
      </c>
      <c r="M658" s="6">
        <v>20835.259999999998</v>
      </c>
      <c r="N658" s="6">
        <v>20970.849999999999</v>
      </c>
      <c r="O658" s="6">
        <v>20754.400000000001</v>
      </c>
      <c r="P658" s="37">
        <v>2680000</v>
      </c>
    </row>
    <row r="659" spans="2:16" ht="15" thickBot="1">
      <c r="B659" s="9">
        <f t="shared" si="65"/>
        <v>3</v>
      </c>
      <c r="C659" s="15">
        <f t="shared" si="60"/>
        <v>3</v>
      </c>
      <c r="D659" s="25">
        <f t="shared" si="61"/>
        <v>41703</v>
      </c>
      <c r="E659" s="16">
        <f t="shared" si="62"/>
        <v>-2.8830111862592211E-3</v>
      </c>
      <c r="F659" s="17">
        <f t="shared" si="63"/>
        <v>1.3764510293468479E-2</v>
      </c>
      <c r="G659" s="18">
        <f t="shared" si="64"/>
        <v>1.66475214797277E-2</v>
      </c>
      <c r="J659" s="28"/>
      <c r="K659" s="8">
        <v>41703</v>
      </c>
      <c r="L659" s="5">
        <v>20756.95</v>
      </c>
      <c r="M659" s="6">
        <v>20416.09</v>
      </c>
      <c r="N659" s="6">
        <v>20799.080000000002</v>
      </c>
      <c r="O659" s="6">
        <v>20401.689999999999</v>
      </c>
      <c r="P659" s="37">
        <v>2380000</v>
      </c>
    </row>
    <row r="660" spans="2:16" ht="15" thickBot="1">
      <c r="B660" s="9">
        <f t="shared" si="65"/>
        <v>2</v>
      </c>
      <c r="C660" s="15">
        <f t="shared" si="60"/>
        <v>2</v>
      </c>
      <c r="D660" s="25">
        <f t="shared" si="61"/>
        <v>41702</v>
      </c>
      <c r="E660" s="16">
        <f t="shared" si="62"/>
        <v>1.1675284379461415E-2</v>
      </c>
      <c r="F660" s="17">
        <f t="shared" si="63"/>
        <v>3.6206539677494876E-2</v>
      </c>
      <c r="G660" s="18">
        <f t="shared" si="64"/>
        <v>2.4531255298033461E-2</v>
      </c>
      <c r="J660" s="28"/>
      <c r="K660" s="8">
        <v>41702</v>
      </c>
      <c r="L660" s="5">
        <v>20475.12</v>
      </c>
      <c r="M660" s="6">
        <v>19990.39</v>
      </c>
      <c r="N660" s="6">
        <v>20475.12</v>
      </c>
      <c r="O660" s="6">
        <v>19986.52</v>
      </c>
      <c r="P660" s="37">
        <v>1050000</v>
      </c>
    </row>
    <row r="661" spans="2:16" ht="15" thickBot="1">
      <c r="B661" s="19">
        <v>1</v>
      </c>
      <c r="C661" s="15">
        <f t="shared" si="60"/>
        <v>1</v>
      </c>
      <c r="D661" s="25">
        <f t="shared" si="61"/>
        <v>41701</v>
      </c>
      <c r="E661" s="16">
        <f t="shared" si="62"/>
        <v>-2.2454788843389695E-2</v>
      </c>
      <c r="F661" s="17">
        <f t="shared" si="63"/>
        <v>-3.3397236431516708E-2</v>
      </c>
      <c r="G661" s="18">
        <f t="shared" si="64"/>
        <v>-1.0942447588127013E-2</v>
      </c>
      <c r="J661" s="28"/>
      <c r="K661" s="8">
        <v>41701</v>
      </c>
      <c r="L661" s="7">
        <v>19759.689999999999</v>
      </c>
      <c r="M661" s="6">
        <v>19983.38</v>
      </c>
      <c r="N661" s="6">
        <v>20237.189999999999</v>
      </c>
      <c r="O661" s="6">
        <v>19759.689999999999</v>
      </c>
      <c r="P661" s="37">
        <v>997130</v>
      </c>
    </row>
    <row r="662" spans="2:16" ht="15" thickBot="1">
      <c r="B662" s="9">
        <f t="shared" si="65"/>
        <v>20</v>
      </c>
      <c r="C662" s="15">
        <f t="shared" si="60"/>
        <v>5</v>
      </c>
      <c r="D662" s="25">
        <f t="shared" si="61"/>
        <v>41698</v>
      </c>
      <c r="E662" s="16">
        <f t="shared" si="62"/>
        <v>3.016586798472165E-4</v>
      </c>
      <c r="F662" s="17">
        <f t="shared" si="63"/>
        <v>5.9755976335786887E-3</v>
      </c>
      <c r="G662" s="18">
        <f t="shared" si="64"/>
        <v>5.6739389537314722E-3</v>
      </c>
      <c r="J662" s="28"/>
      <c r="K662" s="8">
        <v>41698</v>
      </c>
      <c r="L662" s="5">
        <v>20442.41</v>
      </c>
      <c r="M662" s="6">
        <v>20327.11</v>
      </c>
      <c r="N662" s="6">
        <v>20442.41</v>
      </c>
      <c r="O662" s="6">
        <v>20226.75</v>
      </c>
      <c r="P662" s="37">
        <v>741890</v>
      </c>
    </row>
    <row r="663" spans="2:16" ht="15" thickBot="1">
      <c r="B663" s="9">
        <f t="shared" si="65"/>
        <v>19</v>
      </c>
      <c r="C663" s="15">
        <f t="shared" si="60"/>
        <v>4</v>
      </c>
      <c r="D663" s="25">
        <f t="shared" si="61"/>
        <v>41697</v>
      </c>
      <c r="E663" s="16">
        <f t="shared" si="62"/>
        <v>-1.4707252146028971E-4</v>
      </c>
      <c r="F663" s="17">
        <f t="shared" si="63"/>
        <v>-3.780744285006854E-3</v>
      </c>
      <c r="G663" s="18">
        <f t="shared" si="64"/>
        <v>-3.6336717635465643E-3</v>
      </c>
      <c r="J663" s="28"/>
      <c r="K663" s="8">
        <v>41697</v>
      </c>
      <c r="L663" s="7">
        <v>20320.98</v>
      </c>
      <c r="M663" s="6">
        <v>20395.099999999999</v>
      </c>
      <c r="N663" s="6">
        <v>20443.62</v>
      </c>
      <c r="O663" s="6">
        <v>20137.060000000001</v>
      </c>
      <c r="P663" s="37">
        <v>854330</v>
      </c>
    </row>
    <row r="664" spans="2:16" ht="15" thickBot="1">
      <c r="B664" s="9">
        <f t="shared" si="65"/>
        <v>18</v>
      </c>
      <c r="C664" s="15">
        <f t="shared" si="60"/>
        <v>3</v>
      </c>
      <c r="D664" s="25">
        <f t="shared" si="61"/>
        <v>41696</v>
      </c>
      <c r="E664" s="16">
        <f t="shared" si="62"/>
        <v>4.9674769466578894E-4</v>
      </c>
      <c r="F664" s="17">
        <f t="shared" si="63"/>
        <v>-3.6667501906153532E-3</v>
      </c>
      <c r="G664" s="18">
        <f t="shared" si="64"/>
        <v>-4.1634978852811422E-3</v>
      </c>
      <c r="J664" s="28"/>
      <c r="K664" s="8">
        <v>41696</v>
      </c>
      <c r="L664" s="7">
        <v>20398.099999999999</v>
      </c>
      <c r="M664" s="6">
        <v>20483.34</v>
      </c>
      <c r="N664" s="6">
        <v>20529.12</v>
      </c>
      <c r="O664" s="6">
        <v>20350.599999999999</v>
      </c>
      <c r="P664" s="37">
        <v>612940</v>
      </c>
    </row>
    <row r="665" spans="2:16" ht="15" thickBot="1">
      <c r="B665" s="9">
        <f t="shared" si="65"/>
        <v>17</v>
      </c>
      <c r="C665" s="15">
        <f t="shared" si="60"/>
        <v>2</v>
      </c>
      <c r="D665" s="25">
        <f t="shared" si="61"/>
        <v>41695</v>
      </c>
      <c r="E665" s="16">
        <f t="shared" si="62"/>
        <v>-2.3894518373824836E-3</v>
      </c>
      <c r="F665" s="17">
        <f t="shared" si="63"/>
        <v>-2.114515932121197E-4</v>
      </c>
      <c r="G665" s="18">
        <f t="shared" si="64"/>
        <v>2.1780002441703639E-3</v>
      </c>
      <c r="J665" s="28"/>
      <c r="K665" s="8">
        <v>41695</v>
      </c>
      <c r="L665" s="7">
        <v>20473.169999999998</v>
      </c>
      <c r="M665" s="6">
        <v>20428.57</v>
      </c>
      <c r="N665" s="6">
        <v>20476.34</v>
      </c>
      <c r="O665" s="6">
        <v>20336.04</v>
      </c>
      <c r="P665" s="37">
        <v>595980</v>
      </c>
    </row>
    <row r="666" spans="2:16" ht="15" thickBot="1">
      <c r="B666" s="9">
        <f t="shared" si="65"/>
        <v>16</v>
      </c>
      <c r="C666" s="15">
        <f t="shared" si="60"/>
        <v>1</v>
      </c>
      <c r="D666" s="25">
        <f t="shared" si="61"/>
        <v>41694</v>
      </c>
      <c r="E666" s="16">
        <f t="shared" si="62"/>
        <v>-2.6235907394602798E-3</v>
      </c>
      <c r="F666" s="17">
        <f t="shared" si="63"/>
        <v>4.1977451831363144E-3</v>
      </c>
      <c r="G666" s="18">
        <f t="shared" si="64"/>
        <v>6.8213359225965942E-3</v>
      </c>
      <c r="J666" s="28"/>
      <c r="K666" s="8">
        <v>41694</v>
      </c>
      <c r="L666" s="5">
        <v>20477.5</v>
      </c>
      <c r="M666" s="6">
        <v>20338.400000000001</v>
      </c>
      <c r="N666" s="6">
        <v>20477.5</v>
      </c>
      <c r="O666" s="6">
        <v>20231.52</v>
      </c>
      <c r="P666" s="37">
        <v>493140</v>
      </c>
    </row>
    <row r="667" spans="2:16" ht="15" thickBot="1">
      <c r="B667" s="9">
        <f t="shared" si="65"/>
        <v>15</v>
      </c>
      <c r="C667" s="15">
        <f t="shared" si="60"/>
        <v>5</v>
      </c>
      <c r="D667" s="25">
        <f t="shared" si="61"/>
        <v>41691</v>
      </c>
      <c r="E667" s="16">
        <f t="shared" si="62"/>
        <v>2.163572961058513E-3</v>
      </c>
      <c r="F667" s="17">
        <f t="shared" si="63"/>
        <v>-2.9522380878805876E-3</v>
      </c>
      <c r="G667" s="18">
        <f t="shared" si="64"/>
        <v>-5.1158110489391007E-3</v>
      </c>
      <c r="J667" s="28"/>
      <c r="K667" s="8">
        <v>41691</v>
      </c>
      <c r="L667" s="7">
        <v>20391.900000000001</v>
      </c>
      <c r="M667" s="6">
        <v>20496.53</v>
      </c>
      <c r="N667" s="6">
        <v>20520.72</v>
      </c>
      <c r="O667" s="6">
        <v>20353.759999999998</v>
      </c>
      <c r="P667" s="37">
        <v>578860</v>
      </c>
    </row>
    <row r="668" spans="2:16" ht="15" thickBot="1">
      <c r="B668" s="9">
        <f t="shared" si="65"/>
        <v>14</v>
      </c>
      <c r="C668" s="15">
        <f t="shared" si="60"/>
        <v>4</v>
      </c>
      <c r="D668" s="25">
        <f t="shared" si="61"/>
        <v>41690</v>
      </c>
      <c r="E668" s="16">
        <f t="shared" si="62"/>
        <v>-1.191488528889395E-2</v>
      </c>
      <c r="F668" s="17">
        <f t="shared" si="63"/>
        <v>6.8400992254735726E-4</v>
      </c>
      <c r="G668" s="18">
        <f t="shared" si="64"/>
        <v>1.2598895211441308E-2</v>
      </c>
      <c r="J668" s="28"/>
      <c r="K668" s="8">
        <v>41690</v>
      </c>
      <c r="L668" s="5">
        <v>20452.28</v>
      </c>
      <c r="M668" s="6">
        <v>20194.78</v>
      </c>
      <c r="N668" s="6">
        <v>20452.28</v>
      </c>
      <c r="O668" s="6">
        <v>20155.96</v>
      </c>
      <c r="P668" s="37">
        <v>651970</v>
      </c>
    </row>
    <row r="669" spans="2:16" ht="15" thickBot="1">
      <c r="B669" s="9">
        <f t="shared" si="65"/>
        <v>13</v>
      </c>
      <c r="C669" s="15">
        <f t="shared" si="60"/>
        <v>3</v>
      </c>
      <c r="D669" s="25">
        <f t="shared" si="61"/>
        <v>41689</v>
      </c>
      <c r="E669" s="16">
        <f t="shared" si="62"/>
        <v>-1.5142688464454546E-3</v>
      </c>
      <c r="F669" s="17">
        <f t="shared" si="63"/>
        <v>-1.9644964750887839E-3</v>
      </c>
      <c r="G669" s="18">
        <f t="shared" si="64"/>
        <v>-4.5022762864332933E-4</v>
      </c>
      <c r="J669" s="28"/>
      <c r="K669" s="8">
        <v>41689</v>
      </c>
      <c r="L669" s="7">
        <v>20438.3</v>
      </c>
      <c r="M669" s="6">
        <v>20447.52</v>
      </c>
      <c r="N669" s="6">
        <v>20518.32</v>
      </c>
      <c r="O669" s="6">
        <v>20275.900000000001</v>
      </c>
      <c r="P669" s="37">
        <v>616420</v>
      </c>
    </row>
    <row r="670" spans="2:16" ht="15" thickBot="1">
      <c r="B670" s="9">
        <f t="shared" si="65"/>
        <v>12</v>
      </c>
      <c r="C670" s="15">
        <f t="shared" si="60"/>
        <v>2</v>
      </c>
      <c r="D670" s="25">
        <f t="shared" si="61"/>
        <v>41688</v>
      </c>
      <c r="E670" s="16">
        <f t="shared" si="62"/>
        <v>3.5020149416045143E-3</v>
      </c>
      <c r="F670" s="17">
        <f t="shared" si="63"/>
        <v>9.2279193436817231E-4</v>
      </c>
      <c r="G670" s="18">
        <f t="shared" si="64"/>
        <v>-2.579223007236342E-3</v>
      </c>
      <c r="J670" s="28"/>
      <c r="K670" s="8">
        <v>41688</v>
      </c>
      <c r="L670" s="5">
        <v>20478.53</v>
      </c>
      <c r="M670" s="6">
        <v>20531.3</v>
      </c>
      <c r="N670" s="6">
        <v>20580.28</v>
      </c>
      <c r="O670" s="6">
        <v>20268.849999999999</v>
      </c>
      <c r="P670" s="37">
        <v>765970</v>
      </c>
    </row>
    <row r="671" spans="2:16" ht="15" thickBot="1">
      <c r="B671" s="9">
        <f t="shared" si="65"/>
        <v>11</v>
      </c>
      <c r="C671" s="15">
        <f t="shared" si="60"/>
        <v>1</v>
      </c>
      <c r="D671" s="25">
        <f t="shared" si="61"/>
        <v>41687</v>
      </c>
      <c r="E671" s="16">
        <f t="shared" si="62"/>
        <v>1.8202752236564645E-3</v>
      </c>
      <c r="F671" s="17">
        <f t="shared" si="63"/>
        <v>1.134246765708502E-3</v>
      </c>
      <c r="G671" s="18">
        <f t="shared" si="64"/>
        <v>-6.8602845794796252E-4</v>
      </c>
      <c r="J671" s="28"/>
      <c r="K671" s="8">
        <v>41687</v>
      </c>
      <c r="L671" s="5">
        <v>20459.650000000001</v>
      </c>
      <c r="M671" s="6">
        <v>20473.669999999998</v>
      </c>
      <c r="N671" s="6">
        <v>20584.47</v>
      </c>
      <c r="O671" s="6">
        <v>20399.18</v>
      </c>
      <c r="P671" s="37">
        <v>519780</v>
      </c>
    </row>
    <row r="672" spans="2:16" ht="15" thickBot="1">
      <c r="B672" s="9">
        <f t="shared" si="65"/>
        <v>10</v>
      </c>
      <c r="C672" s="15">
        <f t="shared" si="60"/>
        <v>5</v>
      </c>
      <c r="D672" s="25">
        <f t="shared" si="61"/>
        <v>41684</v>
      </c>
      <c r="E672" s="16">
        <f t="shared" si="62"/>
        <v>2.8731545526423652E-3</v>
      </c>
      <c r="F672" s="17">
        <f t="shared" si="63"/>
        <v>1.6219051928613837E-2</v>
      </c>
      <c r="G672" s="18">
        <f t="shared" si="64"/>
        <v>1.3345897375971472E-2</v>
      </c>
      <c r="J672" s="28"/>
      <c r="K672" s="8">
        <v>41684</v>
      </c>
      <c r="L672" s="5">
        <v>20436.47</v>
      </c>
      <c r="M672" s="6">
        <v>20168.080000000002</v>
      </c>
      <c r="N672" s="6">
        <v>20485.46</v>
      </c>
      <c r="O672" s="6">
        <v>20149.3</v>
      </c>
      <c r="P672" s="37">
        <v>852570</v>
      </c>
    </row>
    <row r="673" spans="2:16" ht="15" thickBot="1">
      <c r="B673" s="9">
        <f t="shared" si="65"/>
        <v>9</v>
      </c>
      <c r="C673" s="15">
        <f t="shared" si="60"/>
        <v>4</v>
      </c>
      <c r="D673" s="25">
        <f t="shared" si="61"/>
        <v>41683</v>
      </c>
      <c r="E673" s="16">
        <f t="shared" si="62"/>
        <v>-1.6912418788620487E-3</v>
      </c>
      <c r="F673" s="17">
        <f t="shared" si="63"/>
        <v>-1.7205296014486393E-3</v>
      </c>
      <c r="G673" s="18">
        <f t="shared" si="64"/>
        <v>-2.9287722586590625E-5</v>
      </c>
      <c r="J673" s="28"/>
      <c r="K673" s="8">
        <v>41683</v>
      </c>
      <c r="L673" s="7">
        <v>20110.3</v>
      </c>
      <c r="M673" s="6">
        <v>20110.89</v>
      </c>
      <c r="N673" s="6">
        <v>20114.41</v>
      </c>
      <c r="O673" s="6">
        <v>19814.27</v>
      </c>
      <c r="P673" s="37">
        <v>724340</v>
      </c>
    </row>
    <row r="674" spans="2:16" ht="15" thickBot="1">
      <c r="B674" s="9">
        <f t="shared" si="65"/>
        <v>8</v>
      </c>
      <c r="C674" s="15">
        <f t="shared" si="60"/>
        <v>3</v>
      </c>
      <c r="D674" s="25">
        <f t="shared" si="61"/>
        <v>41682</v>
      </c>
      <c r="E674" s="16">
        <f t="shared" si="62"/>
        <v>5.6367376513444256E-4</v>
      </c>
      <c r="F674" s="17">
        <f t="shared" si="63"/>
        <v>1.2951422987129035E-2</v>
      </c>
      <c r="G674" s="18">
        <f t="shared" si="64"/>
        <v>1.2387749221994593E-2</v>
      </c>
      <c r="J674" s="28"/>
      <c r="K674" s="8">
        <v>41682</v>
      </c>
      <c r="L674" s="5">
        <v>20144.96</v>
      </c>
      <c r="M674" s="6">
        <v>19898.599999999999</v>
      </c>
      <c r="N674" s="6">
        <v>20253.830000000002</v>
      </c>
      <c r="O674" s="6">
        <v>19853.2</v>
      </c>
      <c r="P674" s="37">
        <v>913100</v>
      </c>
    </row>
    <row r="675" spans="2:16" ht="15" thickBot="1">
      <c r="B675" s="9">
        <f t="shared" si="65"/>
        <v>7</v>
      </c>
      <c r="C675" s="15">
        <f t="shared" si="60"/>
        <v>2</v>
      </c>
      <c r="D675" s="25">
        <f t="shared" si="61"/>
        <v>41681</v>
      </c>
      <c r="E675" s="16">
        <f t="shared" si="62"/>
        <v>2.7257273093999057E-3</v>
      </c>
      <c r="F675" s="17">
        <f t="shared" si="63"/>
        <v>1.039332778534785E-2</v>
      </c>
      <c r="G675" s="18">
        <f t="shared" si="64"/>
        <v>7.6676004759479444E-3</v>
      </c>
      <c r="J675" s="28"/>
      <c r="K675" s="8">
        <v>41681</v>
      </c>
      <c r="L675" s="5">
        <v>19887.39</v>
      </c>
      <c r="M675" s="6">
        <v>19736.47</v>
      </c>
      <c r="N675" s="6">
        <v>19887.39</v>
      </c>
      <c r="O675" s="6">
        <v>19705.04</v>
      </c>
      <c r="P675" s="37">
        <v>832170</v>
      </c>
    </row>
    <row r="676" spans="2:16" ht="15" thickBot="1">
      <c r="B676" s="9">
        <f t="shared" si="65"/>
        <v>6</v>
      </c>
      <c r="C676" s="15">
        <f t="shared" si="60"/>
        <v>1</v>
      </c>
      <c r="D676" s="25">
        <f t="shared" si="61"/>
        <v>41680</v>
      </c>
      <c r="E676" s="16">
        <f t="shared" si="62"/>
        <v>4.223017578640853E-3</v>
      </c>
      <c r="F676" s="17">
        <f t="shared" si="63"/>
        <v>-4.702398121478879E-4</v>
      </c>
      <c r="G676" s="18">
        <f t="shared" si="64"/>
        <v>-4.6932573907887409E-3</v>
      </c>
      <c r="J676" s="28"/>
      <c r="K676" s="8">
        <v>41680</v>
      </c>
      <c r="L676" s="7">
        <v>19682.82</v>
      </c>
      <c r="M676" s="6">
        <v>19775.240000000002</v>
      </c>
      <c r="N676" s="6">
        <v>19779.150000000001</v>
      </c>
      <c r="O676" s="6">
        <v>19573.400000000001</v>
      </c>
      <c r="P676" s="37">
        <v>653860</v>
      </c>
    </row>
    <row r="677" spans="2:16" ht="15" thickBot="1">
      <c r="B677" s="9">
        <f t="shared" si="65"/>
        <v>5</v>
      </c>
      <c r="C677" s="15">
        <f t="shared" si="60"/>
        <v>5</v>
      </c>
      <c r="D677" s="25">
        <f t="shared" si="61"/>
        <v>41677</v>
      </c>
      <c r="E677" s="16">
        <f t="shared" si="62"/>
        <v>2.8573274323941966E-3</v>
      </c>
      <c r="F677" s="17">
        <f t="shared" si="63"/>
        <v>9.6307264471724441E-3</v>
      </c>
      <c r="G677" s="18">
        <f t="shared" si="64"/>
        <v>6.7733990147782475E-3</v>
      </c>
      <c r="J677" s="28"/>
      <c r="K677" s="8">
        <v>41677</v>
      </c>
      <c r="L677" s="5">
        <v>19692.080000000002</v>
      </c>
      <c r="M677" s="6">
        <v>19559.97</v>
      </c>
      <c r="N677" s="6">
        <v>19705.7</v>
      </c>
      <c r="O677" s="6">
        <v>19432.150000000001</v>
      </c>
      <c r="P677" s="37">
        <v>996500</v>
      </c>
    </row>
    <row r="678" spans="2:16" ht="15" thickBot="1">
      <c r="B678" s="9">
        <f t="shared" si="65"/>
        <v>4</v>
      </c>
      <c r="C678" s="15">
        <f t="shared" si="60"/>
        <v>4</v>
      </c>
      <c r="D678" s="25">
        <f t="shared" si="61"/>
        <v>41676</v>
      </c>
      <c r="E678" s="16">
        <f t="shared" si="62"/>
        <v>6.2376701790596289E-3</v>
      </c>
      <c r="F678" s="17">
        <f t="shared" si="63"/>
        <v>2.279122499556907E-2</v>
      </c>
      <c r="G678" s="18">
        <f t="shared" si="64"/>
        <v>1.6553554816509441E-2</v>
      </c>
      <c r="J678" s="28"/>
      <c r="K678" s="8">
        <v>41676</v>
      </c>
      <c r="L678" s="5">
        <v>19504.240000000002</v>
      </c>
      <c r="M678" s="6">
        <v>19188.57</v>
      </c>
      <c r="N678" s="6">
        <v>19504.240000000002</v>
      </c>
      <c r="O678" s="6">
        <v>19119.43</v>
      </c>
      <c r="P678" s="37">
        <v>1050000</v>
      </c>
    </row>
    <row r="679" spans="2:16" ht="15" thickBot="1">
      <c r="B679" s="9">
        <f t="shared" si="65"/>
        <v>3</v>
      </c>
      <c r="C679" s="15">
        <f t="shared" si="60"/>
        <v>3</v>
      </c>
      <c r="D679" s="25">
        <f t="shared" si="61"/>
        <v>41675</v>
      </c>
      <c r="E679" s="16">
        <f t="shared" si="62"/>
        <v>-4.8370874214054282E-5</v>
      </c>
      <c r="F679" s="17">
        <f t="shared" si="63"/>
        <v>2.6241199261187731E-3</v>
      </c>
      <c r="G679" s="18">
        <f t="shared" si="64"/>
        <v>2.6724908003328274E-3</v>
      </c>
      <c r="J679" s="28"/>
      <c r="K679" s="8">
        <v>41675</v>
      </c>
      <c r="L679" s="5">
        <v>19069.62</v>
      </c>
      <c r="M679" s="6">
        <v>19018.79</v>
      </c>
      <c r="N679" s="6">
        <v>19177.71</v>
      </c>
      <c r="O679" s="6">
        <v>18930.27</v>
      </c>
      <c r="P679" s="37">
        <v>839820</v>
      </c>
    </row>
    <row r="680" spans="2:16" ht="15" thickBot="1">
      <c r="B680" s="9">
        <f t="shared" si="65"/>
        <v>2</v>
      </c>
      <c r="C680" s="15">
        <f t="shared" si="60"/>
        <v>2</v>
      </c>
      <c r="D680" s="25">
        <f t="shared" si="61"/>
        <v>41674</v>
      </c>
      <c r="E680" s="16">
        <f t="shared" si="62"/>
        <v>-5.1329760789033951E-3</v>
      </c>
      <c r="F680" s="17">
        <f t="shared" si="63"/>
        <v>5.9527713310725261E-3</v>
      </c>
      <c r="G680" s="18">
        <f t="shared" si="64"/>
        <v>1.1085747409975921E-2</v>
      </c>
      <c r="J680" s="28"/>
      <c r="K680" s="8">
        <v>41674</v>
      </c>
      <c r="L680" s="5">
        <v>19019.71</v>
      </c>
      <c r="M680" s="6">
        <v>18810.11</v>
      </c>
      <c r="N680" s="6">
        <v>19074.68</v>
      </c>
      <c r="O680" s="6">
        <v>18788.599999999999</v>
      </c>
      <c r="P680" s="37">
        <v>868860</v>
      </c>
    </row>
    <row r="681" spans="2:16" ht="15" thickBot="1">
      <c r="B681" s="19">
        <v>1</v>
      </c>
      <c r="C681" s="15">
        <f t="shared" si="60"/>
        <v>1</v>
      </c>
      <c r="D681" s="25">
        <f t="shared" si="61"/>
        <v>41673</v>
      </c>
      <c r="E681" s="16">
        <f t="shared" si="62"/>
        <v>-3.501844132917098E-4</v>
      </c>
      <c r="F681" s="17">
        <f t="shared" si="63"/>
        <v>-2.6324598292130075E-2</v>
      </c>
      <c r="G681" s="18">
        <f t="shared" si="64"/>
        <v>-2.5974413878838365E-2</v>
      </c>
      <c r="J681" s="28"/>
      <c r="K681" s="8">
        <v>41673</v>
      </c>
      <c r="L681" s="7">
        <v>18907.16</v>
      </c>
      <c r="M681" s="6">
        <v>19411.54</v>
      </c>
      <c r="N681" s="6">
        <v>19520.05</v>
      </c>
      <c r="O681" s="6">
        <v>18907.16</v>
      </c>
      <c r="P681" s="37">
        <v>854880</v>
      </c>
    </row>
    <row r="682" spans="2:16" ht="15" thickBot="1">
      <c r="B682" s="9">
        <f t="shared" si="65"/>
        <v>22</v>
      </c>
      <c r="C682" s="15">
        <f t="shared" si="60"/>
        <v>5</v>
      </c>
      <c r="D682" s="25">
        <f t="shared" si="61"/>
        <v>41670</v>
      </c>
      <c r="E682" s="16">
        <f t="shared" si="62"/>
        <v>1.9715066545433757E-3</v>
      </c>
      <c r="F682" s="17">
        <f t="shared" si="63"/>
        <v>3.4979174769667054E-4</v>
      </c>
      <c r="G682" s="18">
        <f t="shared" si="64"/>
        <v>-1.6217149068467052E-3</v>
      </c>
      <c r="J682" s="28"/>
      <c r="K682" s="8">
        <v>41670</v>
      </c>
      <c r="L682" s="5">
        <v>19418.34</v>
      </c>
      <c r="M682" s="6">
        <v>19449.82</v>
      </c>
      <c r="N682" s="6">
        <v>19469.400000000001</v>
      </c>
      <c r="O682" s="6">
        <v>19069.310000000001</v>
      </c>
      <c r="P682" s="37">
        <v>770380</v>
      </c>
    </row>
    <row r="683" spans="2:16" ht="15" thickBot="1">
      <c r="B683" s="9">
        <f t="shared" si="65"/>
        <v>21</v>
      </c>
      <c r="C683" s="15">
        <f t="shared" si="60"/>
        <v>4</v>
      </c>
      <c r="D683" s="25">
        <f t="shared" si="61"/>
        <v>41669</v>
      </c>
      <c r="E683" s="16">
        <f t="shared" si="62"/>
        <v>-2.8768056958993204E-3</v>
      </c>
      <c r="F683" s="17">
        <f t="shared" si="63"/>
        <v>3.8335000222367022E-3</v>
      </c>
      <c r="G683" s="18">
        <f t="shared" si="64"/>
        <v>6.7103057181360226E-3</v>
      </c>
      <c r="J683" s="28"/>
      <c r="K683" s="8">
        <v>41669</v>
      </c>
      <c r="L683" s="5">
        <v>19411.55</v>
      </c>
      <c r="M683" s="6">
        <v>19281.79</v>
      </c>
      <c r="N683" s="6">
        <v>19508.29</v>
      </c>
      <c r="O683" s="6">
        <v>19204.2</v>
      </c>
      <c r="P683" s="37">
        <v>804980</v>
      </c>
    </row>
    <row r="684" spans="2:16" ht="15" thickBot="1">
      <c r="B684" s="9">
        <f t="shared" si="65"/>
        <v>20</v>
      </c>
      <c r="C684" s="15">
        <f t="shared" si="60"/>
        <v>3</v>
      </c>
      <c r="D684" s="25">
        <f t="shared" si="61"/>
        <v>41668</v>
      </c>
      <c r="E684" s="16">
        <f t="shared" si="62"/>
        <v>6.7579101948138653E-3</v>
      </c>
      <c r="F684" s="17">
        <f t="shared" si="63"/>
        <v>-5.7022920231670771E-3</v>
      </c>
      <c r="G684" s="18">
        <f t="shared" si="64"/>
        <v>-1.2460202217980942E-2</v>
      </c>
      <c r="J684" s="28"/>
      <c r="K684" s="8">
        <v>41668</v>
      </c>
      <c r="L684" s="7">
        <v>19337.419999999998</v>
      </c>
      <c r="M684" s="6">
        <v>19579.75</v>
      </c>
      <c r="N684" s="6">
        <v>19739.5</v>
      </c>
      <c r="O684" s="6">
        <v>19090</v>
      </c>
      <c r="P684" s="37">
        <v>1120000</v>
      </c>
    </row>
    <row r="685" spans="2:16" ht="15" thickBot="1">
      <c r="B685" s="9">
        <f t="shared" si="65"/>
        <v>19</v>
      </c>
      <c r="C685" s="15">
        <f t="shared" si="60"/>
        <v>2</v>
      </c>
      <c r="D685" s="25">
        <f t="shared" si="61"/>
        <v>41667</v>
      </c>
      <c r="E685" s="16">
        <f t="shared" si="62"/>
        <v>4.9248764370708464E-3</v>
      </c>
      <c r="F685" s="17">
        <f t="shared" si="63"/>
        <v>9.0662969723320774E-3</v>
      </c>
      <c r="G685" s="18">
        <f t="shared" si="64"/>
        <v>4.141420535261231E-3</v>
      </c>
      <c r="J685" s="28"/>
      <c r="K685" s="8">
        <v>41667</v>
      </c>
      <c r="L685" s="5">
        <v>19448.32</v>
      </c>
      <c r="M685" s="6">
        <v>19368.5</v>
      </c>
      <c r="N685" s="6">
        <v>19488.05</v>
      </c>
      <c r="O685" s="6">
        <v>19303.71</v>
      </c>
      <c r="P685" s="37">
        <v>954790</v>
      </c>
    </row>
    <row r="686" spans="2:16" ht="15" thickBot="1">
      <c r="B686" s="9">
        <f t="shared" si="65"/>
        <v>18</v>
      </c>
      <c r="C686" s="15">
        <f t="shared" si="60"/>
        <v>1</v>
      </c>
      <c r="D686" s="25">
        <f t="shared" si="61"/>
        <v>41666</v>
      </c>
      <c r="E686" s="16">
        <f t="shared" si="62"/>
        <v>-1.198409627777286E-4</v>
      </c>
      <c r="F686" s="17">
        <f t="shared" si="63"/>
        <v>-4.4119037201837408E-3</v>
      </c>
      <c r="G686" s="18">
        <f t="shared" si="64"/>
        <v>-4.2920627574060122E-3</v>
      </c>
      <c r="J686" s="28"/>
      <c r="K686" s="8">
        <v>41666</v>
      </c>
      <c r="L686" s="7">
        <v>19273.580000000002</v>
      </c>
      <c r="M686" s="6">
        <v>19356.669999999998</v>
      </c>
      <c r="N686" s="6">
        <v>19420.04</v>
      </c>
      <c r="O686" s="6">
        <v>19087.43</v>
      </c>
      <c r="P686" s="37">
        <v>1190000</v>
      </c>
    </row>
    <row r="687" spans="2:16" ht="15" thickBot="1">
      <c r="B687" s="9">
        <f t="shared" si="65"/>
        <v>17</v>
      </c>
      <c r="C687" s="15">
        <f t="shared" si="60"/>
        <v>5</v>
      </c>
      <c r="D687" s="25">
        <f t="shared" si="61"/>
        <v>41663</v>
      </c>
      <c r="E687" s="16">
        <f t="shared" si="62"/>
        <v>7.4187907371103812E-4</v>
      </c>
      <c r="F687" s="17">
        <f t="shared" si="63"/>
        <v>-2.2991185770052658E-2</v>
      </c>
      <c r="G687" s="18">
        <f t="shared" si="64"/>
        <v>-2.3733064843763696E-2</v>
      </c>
      <c r="J687" s="28"/>
      <c r="K687" s="8">
        <v>41663</v>
      </c>
      <c r="L687" s="7">
        <v>19358.990000000002</v>
      </c>
      <c r="M687" s="6">
        <v>19829.25</v>
      </c>
      <c r="N687" s="6">
        <v>19874.84</v>
      </c>
      <c r="O687" s="6">
        <v>19358.990000000002</v>
      </c>
      <c r="P687" s="37">
        <v>1210000</v>
      </c>
    </row>
    <row r="688" spans="2:16" ht="15" thickBot="1">
      <c r="B688" s="9">
        <f t="shared" si="65"/>
        <v>16</v>
      </c>
      <c r="C688" s="15">
        <f t="shared" si="60"/>
        <v>4</v>
      </c>
      <c r="D688" s="25">
        <f t="shared" si="61"/>
        <v>41662</v>
      </c>
      <c r="E688" s="16">
        <f t="shared" si="62"/>
        <v>-1.0932751054945067E-3</v>
      </c>
      <c r="F688" s="17">
        <f t="shared" si="63"/>
        <v>-7.2064967196737717E-3</v>
      </c>
      <c r="G688" s="18">
        <f t="shared" si="64"/>
        <v>-6.113221614179265E-3</v>
      </c>
      <c r="J688" s="28"/>
      <c r="K688" s="8">
        <v>41662</v>
      </c>
      <c r="L688" s="7">
        <v>19814.55</v>
      </c>
      <c r="M688" s="6">
        <v>19936.560000000001</v>
      </c>
      <c r="N688" s="6">
        <v>20102.64</v>
      </c>
      <c r="O688" s="6">
        <v>19769.96</v>
      </c>
      <c r="P688" s="37">
        <v>776160</v>
      </c>
    </row>
    <row r="689" spans="2:16" ht="15" thickBot="1">
      <c r="B689" s="9">
        <f t="shared" si="65"/>
        <v>15</v>
      </c>
      <c r="C689" s="15">
        <f t="shared" si="60"/>
        <v>3</v>
      </c>
      <c r="D689" s="25">
        <f t="shared" si="61"/>
        <v>41661</v>
      </c>
      <c r="E689" s="16">
        <f t="shared" si="62"/>
        <v>5.9827713389095649E-3</v>
      </c>
      <c r="F689" s="17">
        <f t="shared" si="63"/>
        <v>-1.8688971406423116E-3</v>
      </c>
      <c r="G689" s="18">
        <f t="shared" si="64"/>
        <v>-7.8516684795518765E-3</v>
      </c>
      <c r="J689" s="28"/>
      <c r="K689" s="8">
        <v>41661</v>
      </c>
      <c r="L689" s="7">
        <v>19958.38</v>
      </c>
      <c r="M689" s="6">
        <v>20115.38</v>
      </c>
      <c r="N689" s="6">
        <v>20174.84</v>
      </c>
      <c r="O689" s="6">
        <v>19820.490000000002</v>
      </c>
      <c r="P689" s="37">
        <v>914970</v>
      </c>
    </row>
    <row r="690" spans="2:16" ht="15" thickBot="1">
      <c r="B690" s="9">
        <f t="shared" si="65"/>
        <v>14</v>
      </c>
      <c r="C690" s="15">
        <f t="shared" si="60"/>
        <v>2</v>
      </c>
      <c r="D690" s="25">
        <f t="shared" si="61"/>
        <v>41660</v>
      </c>
      <c r="E690" s="16">
        <f t="shared" si="62"/>
        <v>4.510487672385155E-3</v>
      </c>
      <c r="F690" s="17">
        <f t="shared" si="63"/>
        <v>1.116482130027574E-3</v>
      </c>
      <c r="G690" s="18">
        <f t="shared" si="64"/>
        <v>-3.394005542357581E-3</v>
      </c>
      <c r="J690" s="28"/>
      <c r="K690" s="8">
        <v>41660</v>
      </c>
      <c r="L690" s="5">
        <v>19995.75</v>
      </c>
      <c r="M690" s="6">
        <v>20063.54</v>
      </c>
      <c r="N690" s="6">
        <v>20167.48</v>
      </c>
      <c r="O690" s="6">
        <v>19992.7</v>
      </c>
      <c r="P690" s="37">
        <v>833180</v>
      </c>
    </row>
    <row r="691" spans="2:16" ht="15" thickBot="1">
      <c r="B691" s="9">
        <f t="shared" si="65"/>
        <v>13</v>
      </c>
      <c r="C691" s="15">
        <f t="shared" si="60"/>
        <v>1</v>
      </c>
      <c r="D691" s="25">
        <f t="shared" si="61"/>
        <v>41659</v>
      </c>
      <c r="E691" s="16">
        <f t="shared" si="62"/>
        <v>-1.2849705022653923E-3</v>
      </c>
      <c r="F691" s="17">
        <f t="shared" si="63"/>
        <v>2.0631638617807369E-4</v>
      </c>
      <c r="G691" s="18">
        <f t="shared" si="64"/>
        <v>1.491286888443466E-3</v>
      </c>
      <c r="J691" s="28"/>
      <c r="K691" s="8">
        <v>41659</v>
      </c>
      <c r="L691" s="5">
        <v>19973.45</v>
      </c>
      <c r="M691" s="6">
        <v>19943.669999999998</v>
      </c>
      <c r="N691" s="6">
        <v>19999.47</v>
      </c>
      <c r="O691" s="6">
        <v>19883.8</v>
      </c>
      <c r="P691" s="37">
        <v>693380</v>
      </c>
    </row>
    <row r="692" spans="2:16" ht="15" thickBot="1">
      <c r="B692" s="9">
        <f t="shared" si="65"/>
        <v>12</v>
      </c>
      <c r="C692" s="15">
        <f t="shared" si="60"/>
        <v>5</v>
      </c>
      <c r="D692" s="25">
        <f t="shared" si="61"/>
        <v>41656</v>
      </c>
      <c r="E692" s="16">
        <f t="shared" si="62"/>
        <v>2.4250730414898669E-4</v>
      </c>
      <c r="F692" s="17">
        <f t="shared" si="63"/>
        <v>4.7112829793583E-3</v>
      </c>
      <c r="G692" s="18">
        <f t="shared" si="64"/>
        <v>4.4687756752093133E-3</v>
      </c>
      <c r="J692" s="28"/>
      <c r="K692" s="8">
        <v>41656</v>
      </c>
      <c r="L692" s="5">
        <v>19969.330000000002</v>
      </c>
      <c r="M692" s="6">
        <v>19880.509999999998</v>
      </c>
      <c r="N692" s="6">
        <v>20027.080000000002</v>
      </c>
      <c r="O692" s="6">
        <v>19796.27</v>
      </c>
      <c r="P692" s="37">
        <v>990000</v>
      </c>
    </row>
    <row r="693" spans="2:16" ht="15" thickBot="1">
      <c r="B693" s="9">
        <f t="shared" si="65"/>
        <v>11</v>
      </c>
      <c r="C693" s="15">
        <f t="shared" si="60"/>
        <v>4</v>
      </c>
      <c r="D693" s="25">
        <f t="shared" si="61"/>
        <v>41655</v>
      </c>
      <c r="E693" s="16">
        <f t="shared" si="62"/>
        <v>6.6348195329091197E-4</v>
      </c>
      <c r="F693" s="17">
        <f t="shared" si="63"/>
        <v>-8.4840884057276744E-3</v>
      </c>
      <c r="G693" s="18">
        <f t="shared" si="64"/>
        <v>-9.1475703590185864E-3</v>
      </c>
      <c r="J693" s="28"/>
      <c r="K693" s="8">
        <v>41655</v>
      </c>
      <c r="L693" s="7">
        <v>19875.689999999999</v>
      </c>
      <c r="M693" s="6">
        <v>20059.060000000001</v>
      </c>
      <c r="N693" s="6">
        <v>20065.32</v>
      </c>
      <c r="O693" s="6">
        <v>19841.09</v>
      </c>
      <c r="P693" s="37">
        <v>1160000</v>
      </c>
    </row>
    <row r="694" spans="2:16" ht="15" thickBot="1">
      <c r="B694" s="9">
        <f t="shared" si="65"/>
        <v>10</v>
      </c>
      <c r="C694" s="15">
        <f t="shared" si="60"/>
        <v>3</v>
      </c>
      <c r="D694" s="25">
        <f t="shared" si="61"/>
        <v>41654</v>
      </c>
      <c r="E694" s="16">
        <f t="shared" si="62"/>
        <v>3.3461088940001105E-3</v>
      </c>
      <c r="F694" s="17">
        <f t="shared" si="63"/>
        <v>1.5984486867460124E-2</v>
      </c>
      <c r="G694" s="18">
        <f t="shared" si="64"/>
        <v>1.2638377973460013E-2</v>
      </c>
      <c r="J694" s="28"/>
      <c r="K694" s="8">
        <v>41654</v>
      </c>
      <c r="L694" s="5">
        <v>20045.759999999998</v>
      </c>
      <c r="M694" s="6">
        <v>19796.400000000001</v>
      </c>
      <c r="N694" s="6">
        <v>20071.13</v>
      </c>
      <c r="O694" s="6">
        <v>19796.060000000001</v>
      </c>
      <c r="P694" s="37">
        <v>1250000</v>
      </c>
    </row>
    <row r="695" spans="2:16" ht="15" thickBot="1">
      <c r="B695" s="9">
        <f t="shared" si="65"/>
        <v>9</v>
      </c>
      <c r="C695" s="15">
        <f t="shared" si="60"/>
        <v>2</v>
      </c>
      <c r="D695" s="25">
        <f t="shared" si="61"/>
        <v>41653</v>
      </c>
      <c r="E695" s="16">
        <f t="shared" si="62"/>
        <v>-7.8858723933544761E-3</v>
      </c>
      <c r="F695" s="17">
        <f t="shared" si="63"/>
        <v>1.6819606797904285E-3</v>
      </c>
      <c r="G695" s="18">
        <f t="shared" si="64"/>
        <v>9.5678330731449046E-3</v>
      </c>
      <c r="J695" s="28"/>
      <c r="K695" s="8">
        <v>41653</v>
      </c>
      <c r="L695" s="5">
        <v>19730.38</v>
      </c>
      <c r="M695" s="6">
        <v>19541.919999999998</v>
      </c>
      <c r="N695" s="6">
        <v>19748.689999999999</v>
      </c>
      <c r="O695" s="6">
        <v>19466.87</v>
      </c>
      <c r="P695" s="37">
        <v>910240</v>
      </c>
    </row>
    <row r="696" spans="2:16" ht="15" thickBot="1">
      <c r="B696" s="9">
        <f t="shared" si="65"/>
        <v>8</v>
      </c>
      <c r="C696" s="15">
        <f t="shared" si="60"/>
        <v>1</v>
      </c>
      <c r="D696" s="25">
        <f t="shared" si="61"/>
        <v>41652</v>
      </c>
      <c r="E696" s="16">
        <f t="shared" si="62"/>
        <v>5.5296642649087513E-3</v>
      </c>
      <c r="F696" s="17">
        <f t="shared" si="63"/>
        <v>6.5537329449638637E-3</v>
      </c>
      <c r="G696" s="18">
        <f t="shared" si="64"/>
        <v>1.0240686800551124E-3</v>
      </c>
      <c r="J696" s="28"/>
      <c r="K696" s="8">
        <v>41652</v>
      </c>
      <c r="L696" s="5">
        <v>19697.25</v>
      </c>
      <c r="M696" s="6">
        <v>19677.21</v>
      </c>
      <c r="N696" s="6">
        <v>19741.759999999998</v>
      </c>
      <c r="O696" s="6">
        <v>19594.099999999999</v>
      </c>
      <c r="P696" s="37">
        <v>702670</v>
      </c>
    </row>
    <row r="697" spans="2:16" ht="15" thickBot="1">
      <c r="B697" s="9">
        <f t="shared" si="65"/>
        <v>7</v>
      </c>
      <c r="C697" s="15">
        <f t="shared" si="60"/>
        <v>5</v>
      </c>
      <c r="D697" s="25">
        <f t="shared" si="61"/>
        <v>41649</v>
      </c>
      <c r="E697" s="16">
        <f t="shared" si="62"/>
        <v>5.0863969645695839E-3</v>
      </c>
      <c r="F697" s="17">
        <f t="shared" si="63"/>
        <v>3.3840947546530664E-3</v>
      </c>
      <c r="G697" s="18">
        <f t="shared" si="64"/>
        <v>-1.7023022099165175E-3</v>
      </c>
      <c r="J697" s="28"/>
      <c r="K697" s="8">
        <v>41649</v>
      </c>
      <c r="L697" s="5">
        <v>19569</v>
      </c>
      <c r="M697" s="6">
        <v>19602.2</v>
      </c>
      <c r="N697" s="6">
        <v>19665.080000000002</v>
      </c>
      <c r="O697" s="6">
        <v>19497.189999999999</v>
      </c>
      <c r="P697" s="37">
        <v>868430</v>
      </c>
    </row>
    <row r="698" spans="2:16" ht="15" thickBot="1">
      <c r="B698" s="9">
        <f t="shared" si="65"/>
        <v>6</v>
      </c>
      <c r="C698" s="15">
        <f t="shared" si="60"/>
        <v>4</v>
      </c>
      <c r="D698" s="25">
        <f t="shared" si="61"/>
        <v>41648</v>
      </c>
      <c r="E698" s="16">
        <f t="shared" si="62"/>
        <v>2.2241887602063581E-3</v>
      </c>
      <c r="F698" s="17">
        <f t="shared" si="63"/>
        <v>3.4317231160252426E-3</v>
      </c>
      <c r="G698" s="18">
        <f t="shared" si="64"/>
        <v>1.2075343558188845E-3</v>
      </c>
      <c r="J698" s="28"/>
      <c r="K698" s="8">
        <v>41648</v>
      </c>
      <c r="L698" s="5">
        <v>19503</v>
      </c>
      <c r="M698" s="6">
        <v>19479.53</v>
      </c>
      <c r="N698" s="6">
        <v>19718.490000000002</v>
      </c>
      <c r="O698" s="6">
        <v>19339.77</v>
      </c>
      <c r="P698" s="37">
        <v>1290000</v>
      </c>
    </row>
    <row r="699" spans="2:16" ht="15" thickBot="1">
      <c r="B699" s="9">
        <f t="shared" si="65"/>
        <v>5</v>
      </c>
      <c r="C699" s="15">
        <f t="shared" si="60"/>
        <v>3</v>
      </c>
      <c r="D699" s="25">
        <f t="shared" si="61"/>
        <v>41647</v>
      </c>
      <c r="E699" s="16">
        <f t="shared" si="62"/>
        <v>2.0807704654894899E-3</v>
      </c>
      <c r="F699" s="17">
        <f t="shared" si="63"/>
        <v>-1.6667736757625118E-3</v>
      </c>
      <c r="G699" s="18">
        <f t="shared" si="64"/>
        <v>-3.7475441412520016E-3</v>
      </c>
      <c r="J699" s="28"/>
      <c r="K699" s="8">
        <v>41647</v>
      </c>
      <c r="L699" s="7">
        <v>19436.3</v>
      </c>
      <c r="M699" s="6">
        <v>19509.259999999998</v>
      </c>
      <c r="N699" s="6">
        <v>19640.560000000001</v>
      </c>
      <c r="O699" s="6">
        <v>19383.41</v>
      </c>
      <c r="P699" s="37">
        <v>1400000</v>
      </c>
    </row>
    <row r="700" spans="2:16" ht="15" thickBot="1">
      <c r="B700" s="9">
        <f t="shared" si="65"/>
        <v>4</v>
      </c>
      <c r="C700" s="15">
        <f t="shared" ref="C700:C763" si="66">WEEKDAY(D700,2)</f>
        <v>2</v>
      </c>
      <c r="D700" s="25">
        <f t="shared" ref="D700:D763" si="67">K700</f>
        <v>41646</v>
      </c>
      <c r="E700" s="16">
        <f t="shared" ref="E700:E763" si="68">M700/L701-1</f>
        <v>1.5238845903082776E-3</v>
      </c>
      <c r="F700" s="17">
        <f t="shared" ref="F700:F763" si="69">L700/L701-1</f>
        <v>1.2218632465656576E-2</v>
      </c>
      <c r="G700" s="18">
        <f t="shared" ref="G700:G763" si="70">F700-E700</f>
        <v>1.0694747875348298E-2</v>
      </c>
      <c r="J700" s="28"/>
      <c r="K700" s="8">
        <v>41646</v>
      </c>
      <c r="L700" s="5">
        <v>19468.75</v>
      </c>
      <c r="M700" s="6">
        <v>19263.05</v>
      </c>
      <c r="N700" s="6">
        <v>19500.009999999998</v>
      </c>
      <c r="O700" s="6">
        <v>19190.060000000001</v>
      </c>
      <c r="P700" s="37">
        <v>1190000</v>
      </c>
    </row>
    <row r="701" spans="2:16" ht="15" thickBot="1">
      <c r="B701" s="9">
        <f t="shared" si="65"/>
        <v>3</v>
      </c>
      <c r="C701" s="15">
        <f t="shared" si="66"/>
        <v>1</v>
      </c>
      <c r="D701" s="25">
        <f t="shared" si="67"/>
        <v>41645</v>
      </c>
      <c r="E701" s="16">
        <f t="shared" si="68"/>
        <v>-8.8946326124317299E-4</v>
      </c>
      <c r="F701" s="17">
        <f t="shared" si="69"/>
        <v>6.3355944884671E-3</v>
      </c>
      <c r="G701" s="18">
        <f t="shared" si="70"/>
        <v>7.225057749710273E-3</v>
      </c>
      <c r="J701" s="28"/>
      <c r="K701" s="8">
        <v>41645</v>
      </c>
      <c r="L701" s="5">
        <v>19233.740000000002</v>
      </c>
      <c r="M701" s="6">
        <v>19095.650000000001</v>
      </c>
      <c r="N701" s="6">
        <v>19303.82</v>
      </c>
      <c r="O701" s="6">
        <v>19095.63</v>
      </c>
      <c r="P701" s="37">
        <v>583360</v>
      </c>
    </row>
    <row r="702" spans="2:16" ht="15" thickBot="1">
      <c r="B702" s="9">
        <f t="shared" si="65"/>
        <v>2</v>
      </c>
      <c r="C702" s="15">
        <f t="shared" si="66"/>
        <v>5</v>
      </c>
      <c r="D702" s="25">
        <f t="shared" si="67"/>
        <v>41642</v>
      </c>
      <c r="E702" s="16">
        <f t="shared" si="68"/>
        <v>3.8748776389183615E-3</v>
      </c>
      <c r="F702" s="17">
        <f t="shared" si="69"/>
        <v>9.6684404291049741E-3</v>
      </c>
      <c r="G702" s="18">
        <f t="shared" si="70"/>
        <v>5.7935627901866127E-3</v>
      </c>
      <c r="J702" s="28"/>
      <c r="K702" s="8">
        <v>41642</v>
      </c>
      <c r="L702" s="5">
        <v>19112.650000000001</v>
      </c>
      <c r="M702" s="6">
        <v>19002.98</v>
      </c>
      <c r="N702" s="6">
        <v>19163.22</v>
      </c>
      <c r="O702" s="6">
        <v>18950.98</v>
      </c>
      <c r="P702" s="37">
        <v>869130</v>
      </c>
    </row>
    <row r="703" spans="2:16" ht="15" thickBot="1">
      <c r="B703" s="19">
        <v>1</v>
      </c>
      <c r="C703" s="15">
        <f t="shared" si="66"/>
        <v>4</v>
      </c>
      <c r="D703" s="25">
        <f t="shared" si="67"/>
        <v>41641</v>
      </c>
      <c r="E703" s="16">
        <f t="shared" si="68"/>
        <v>5.9395678234219762E-3</v>
      </c>
      <c r="F703" s="17">
        <f t="shared" si="69"/>
        <v>-2.0076224277996157E-3</v>
      </c>
      <c r="G703" s="18">
        <f t="shared" si="70"/>
        <v>-7.947190251221592E-3</v>
      </c>
      <c r="J703" s="28"/>
      <c r="K703" s="8">
        <v>41641</v>
      </c>
      <c r="L703" s="7">
        <v>18929.63</v>
      </c>
      <c r="M703" s="6">
        <v>19080.37</v>
      </c>
      <c r="N703" s="6">
        <v>19196.990000000002</v>
      </c>
      <c r="O703" s="6">
        <v>18885.93</v>
      </c>
      <c r="P703" s="37">
        <v>707960</v>
      </c>
    </row>
    <row r="704" spans="2:16" ht="15" thickBot="1">
      <c r="B704" s="9">
        <f t="shared" si="65"/>
        <v>18</v>
      </c>
      <c r="C704" s="15">
        <f t="shared" si="66"/>
        <v>1</v>
      </c>
      <c r="D704" s="25">
        <f t="shared" si="67"/>
        <v>41638</v>
      </c>
      <c r="E704" s="16">
        <f t="shared" si="68"/>
        <v>-1.1494725825205165E-3</v>
      </c>
      <c r="F704" s="17">
        <f t="shared" si="69"/>
        <v>5.9029821929335036E-4</v>
      </c>
      <c r="G704" s="18">
        <f t="shared" si="70"/>
        <v>1.7397708018138669E-3</v>
      </c>
      <c r="J704" s="28"/>
      <c r="K704" s="8">
        <v>41638</v>
      </c>
      <c r="L704" s="5">
        <v>18967.71</v>
      </c>
      <c r="M704" s="6">
        <v>18934.73</v>
      </c>
      <c r="N704" s="6">
        <v>19024.97</v>
      </c>
      <c r="O704" s="6">
        <v>18921.77</v>
      </c>
      <c r="P704" s="37">
        <v>729590</v>
      </c>
    </row>
    <row r="705" spans="2:16" ht="15" thickBot="1">
      <c r="B705" s="9">
        <f t="shared" si="65"/>
        <v>17</v>
      </c>
      <c r="C705" s="15">
        <f t="shared" si="66"/>
        <v>5</v>
      </c>
      <c r="D705" s="25">
        <f t="shared" si="67"/>
        <v>41635</v>
      </c>
      <c r="E705" s="16">
        <f t="shared" si="68"/>
        <v>5.5511134049839317E-3</v>
      </c>
      <c r="F705" s="17">
        <f t="shared" si="69"/>
        <v>1.387216768331001E-2</v>
      </c>
      <c r="G705" s="18">
        <f t="shared" si="70"/>
        <v>8.3210542783260788E-3</v>
      </c>
      <c r="J705" s="28"/>
      <c r="K705" s="8">
        <v>41635</v>
      </c>
      <c r="L705" s="5">
        <v>18956.52</v>
      </c>
      <c r="M705" s="6">
        <v>18800.939999999999</v>
      </c>
      <c r="N705" s="6">
        <v>18956.52</v>
      </c>
      <c r="O705" s="6">
        <v>18764.36</v>
      </c>
      <c r="P705" s="37">
        <v>634640</v>
      </c>
    </row>
    <row r="706" spans="2:16" ht="15" thickBot="1">
      <c r="B706" s="9">
        <f t="shared" si="65"/>
        <v>16</v>
      </c>
      <c r="C706" s="15">
        <f t="shared" si="66"/>
        <v>1</v>
      </c>
      <c r="D706" s="25">
        <f t="shared" si="67"/>
        <v>41631</v>
      </c>
      <c r="E706" s="16">
        <f t="shared" si="68"/>
        <v>2.7394736827930366E-3</v>
      </c>
      <c r="F706" s="17">
        <f t="shared" si="69"/>
        <v>7.0851429066969285E-3</v>
      </c>
      <c r="G706" s="18">
        <f t="shared" si="70"/>
        <v>4.3456692239038919E-3</v>
      </c>
      <c r="J706" s="28"/>
      <c r="K706" s="8">
        <v>41631</v>
      </c>
      <c r="L706" s="5">
        <v>18697.150000000001</v>
      </c>
      <c r="M706" s="6">
        <v>18616.47</v>
      </c>
      <c r="N706" s="6">
        <v>18697.150000000001</v>
      </c>
      <c r="O706" s="6">
        <v>18554.03</v>
      </c>
      <c r="P706" s="37">
        <v>638270</v>
      </c>
    </row>
    <row r="707" spans="2:16" ht="15" thickBot="1">
      <c r="B707" s="9">
        <f t="shared" si="65"/>
        <v>15</v>
      </c>
      <c r="C707" s="15">
        <f t="shared" si="66"/>
        <v>5</v>
      </c>
      <c r="D707" s="25">
        <f t="shared" si="67"/>
        <v>41628</v>
      </c>
      <c r="E707" s="16">
        <f t="shared" si="68"/>
        <v>0</v>
      </c>
      <c r="F707" s="17">
        <f t="shared" si="69"/>
        <v>6.0485564368464306E-3</v>
      </c>
      <c r="G707" s="18">
        <f t="shared" si="70"/>
        <v>6.0485564368464306E-3</v>
      </c>
      <c r="J707" s="28"/>
      <c r="K707" s="8">
        <v>41628</v>
      </c>
      <c r="L707" s="5">
        <v>18565.61</v>
      </c>
      <c r="M707" s="6">
        <v>18453.990000000002</v>
      </c>
      <c r="N707" s="6">
        <v>18613.07</v>
      </c>
      <c r="O707" s="6">
        <v>18360.63</v>
      </c>
      <c r="P707" s="37">
        <v>1340000</v>
      </c>
    </row>
    <row r="708" spans="2:16" ht="15" thickBot="1">
      <c r="B708" s="9">
        <f t="shared" si="65"/>
        <v>14</v>
      </c>
      <c r="C708" s="15">
        <f t="shared" si="66"/>
        <v>4</v>
      </c>
      <c r="D708" s="25">
        <f t="shared" si="67"/>
        <v>41627</v>
      </c>
      <c r="E708" s="16">
        <f t="shared" si="68"/>
        <v>9.8541267154546031E-3</v>
      </c>
      <c r="F708" s="17">
        <f t="shared" si="69"/>
        <v>1.7786734570628182E-2</v>
      </c>
      <c r="G708" s="18">
        <f t="shared" si="70"/>
        <v>7.932607855173579E-3</v>
      </c>
      <c r="J708" s="28"/>
      <c r="K708" s="8">
        <v>41627</v>
      </c>
      <c r="L708" s="5">
        <v>18453.990000000002</v>
      </c>
      <c r="M708" s="6">
        <v>18310.16</v>
      </c>
      <c r="N708" s="6">
        <v>18453.990000000002</v>
      </c>
      <c r="O708" s="6">
        <v>18279.349999999999</v>
      </c>
      <c r="P708" s="37">
        <v>1140000</v>
      </c>
    </row>
    <row r="709" spans="2:16" ht="15" thickBot="1">
      <c r="B709" s="9">
        <f t="shared" si="65"/>
        <v>13</v>
      </c>
      <c r="C709" s="15">
        <f t="shared" si="66"/>
        <v>3</v>
      </c>
      <c r="D709" s="25">
        <f t="shared" si="67"/>
        <v>41626</v>
      </c>
      <c r="E709" s="16">
        <f t="shared" si="68"/>
        <v>5.3751113655016169E-3</v>
      </c>
      <c r="F709" s="17">
        <f t="shared" si="69"/>
        <v>1.1507814971205566E-2</v>
      </c>
      <c r="G709" s="18">
        <f t="shared" si="70"/>
        <v>6.1327036057039486E-3</v>
      </c>
      <c r="J709" s="28"/>
      <c r="K709" s="8">
        <v>41626</v>
      </c>
      <c r="L709" s="5">
        <v>18131.490000000002</v>
      </c>
      <c r="M709" s="6">
        <v>18021.560000000001</v>
      </c>
      <c r="N709" s="6">
        <v>18160.78</v>
      </c>
      <c r="O709" s="6">
        <v>17949.04</v>
      </c>
      <c r="P709" s="37">
        <v>615360</v>
      </c>
    </row>
    <row r="710" spans="2:16" ht="15" thickBot="1">
      <c r="B710" s="9">
        <f t="shared" ref="B710:B773" si="71">B711+1</f>
        <v>12</v>
      </c>
      <c r="C710" s="15">
        <f t="shared" si="66"/>
        <v>2</v>
      </c>
      <c r="D710" s="25">
        <f t="shared" si="67"/>
        <v>41625</v>
      </c>
      <c r="E710" s="16">
        <f t="shared" si="68"/>
        <v>-4.9779337760845754E-3</v>
      </c>
      <c r="F710" s="17">
        <f t="shared" si="69"/>
        <v>-1.6310127853490286E-2</v>
      </c>
      <c r="G710" s="18">
        <f t="shared" si="70"/>
        <v>-1.1332194077405711E-2</v>
      </c>
      <c r="J710" s="28"/>
      <c r="K710" s="8">
        <v>41625</v>
      </c>
      <c r="L710" s="7">
        <v>17925.21</v>
      </c>
      <c r="M710" s="6">
        <v>18131.71</v>
      </c>
      <c r="N710" s="6">
        <v>18205.82</v>
      </c>
      <c r="O710" s="6">
        <v>17923.32</v>
      </c>
      <c r="P710" s="37">
        <v>624200</v>
      </c>
    </row>
    <row r="711" spans="2:16" ht="15" thickBot="1">
      <c r="B711" s="9">
        <f t="shared" si="71"/>
        <v>11</v>
      </c>
      <c r="C711" s="15">
        <f t="shared" si="66"/>
        <v>1</v>
      </c>
      <c r="D711" s="25">
        <f t="shared" si="67"/>
        <v>41624</v>
      </c>
      <c r="E711" s="16">
        <f t="shared" si="68"/>
        <v>2.9990345804420393E-4</v>
      </c>
      <c r="F711" s="17">
        <f t="shared" si="69"/>
        <v>2.3402017215806259E-2</v>
      </c>
      <c r="G711" s="18">
        <f t="shared" si="70"/>
        <v>2.3102113757762055E-2</v>
      </c>
      <c r="J711" s="28"/>
      <c r="K711" s="8">
        <v>41624</v>
      </c>
      <c r="L711" s="5">
        <v>18222.419999999998</v>
      </c>
      <c r="M711" s="6">
        <v>17811.07</v>
      </c>
      <c r="N711" s="6">
        <v>18222.419999999998</v>
      </c>
      <c r="O711" s="6">
        <v>17780.21</v>
      </c>
      <c r="P711" s="37">
        <v>653560</v>
      </c>
    </row>
    <row r="712" spans="2:16" ht="15" thickBot="1">
      <c r="B712" s="9">
        <f t="shared" si="71"/>
        <v>10</v>
      </c>
      <c r="C712" s="15">
        <f t="shared" si="66"/>
        <v>5</v>
      </c>
      <c r="D712" s="25">
        <f t="shared" si="67"/>
        <v>41621</v>
      </c>
      <c r="E712" s="16">
        <f t="shared" si="68"/>
        <v>4.5549335659300638E-4</v>
      </c>
      <c r="F712" s="17">
        <f t="shared" si="69"/>
        <v>4.8301391697869178E-5</v>
      </c>
      <c r="G712" s="18">
        <f t="shared" si="70"/>
        <v>-4.071919648951372E-4</v>
      </c>
      <c r="J712" s="28"/>
      <c r="K712" s="8">
        <v>41621</v>
      </c>
      <c r="L712" s="5">
        <v>17805.73</v>
      </c>
      <c r="M712" s="6">
        <v>17812.98</v>
      </c>
      <c r="N712" s="6">
        <v>17949.810000000001</v>
      </c>
      <c r="O712" s="6">
        <v>17783.53</v>
      </c>
      <c r="P712" s="37">
        <v>574030</v>
      </c>
    </row>
    <row r="713" spans="2:16" ht="15" thickBot="1">
      <c r="B713" s="9">
        <f t="shared" si="71"/>
        <v>9</v>
      </c>
      <c r="C713" s="15">
        <f t="shared" si="66"/>
        <v>4</v>
      </c>
      <c r="D713" s="25">
        <f t="shared" si="67"/>
        <v>41620</v>
      </c>
      <c r="E713" s="16">
        <f t="shared" si="68"/>
        <v>-3.6463862165043714E-3</v>
      </c>
      <c r="F713" s="17">
        <f t="shared" si="69"/>
        <v>-9.4074984032456177E-3</v>
      </c>
      <c r="G713" s="18">
        <f t="shared" si="70"/>
        <v>-5.7611121867412463E-3</v>
      </c>
      <c r="J713" s="28"/>
      <c r="K713" s="8">
        <v>41620</v>
      </c>
      <c r="L713" s="7">
        <v>17804.87</v>
      </c>
      <c r="M713" s="6">
        <v>17908.419999999998</v>
      </c>
      <c r="N713" s="6">
        <v>17957.04</v>
      </c>
      <c r="O713" s="6">
        <v>17748.63</v>
      </c>
      <c r="P713" s="37">
        <v>603300</v>
      </c>
    </row>
    <row r="714" spans="2:16" ht="15" thickBot="1">
      <c r="B714" s="9">
        <f t="shared" si="71"/>
        <v>8</v>
      </c>
      <c r="C714" s="15">
        <f t="shared" si="66"/>
        <v>3</v>
      </c>
      <c r="D714" s="25">
        <f t="shared" si="67"/>
        <v>41619</v>
      </c>
      <c r="E714" s="16">
        <f t="shared" si="68"/>
        <v>-1.8095359253198495E-3</v>
      </c>
      <c r="F714" s="17">
        <f t="shared" si="69"/>
        <v>-1.4408292719304883E-2</v>
      </c>
      <c r="G714" s="18">
        <f t="shared" si="70"/>
        <v>-1.2598756793985033E-2</v>
      </c>
      <c r="J714" s="28"/>
      <c r="K714" s="8">
        <v>41619</v>
      </c>
      <c r="L714" s="7">
        <v>17973.96</v>
      </c>
      <c r="M714" s="6">
        <v>18203.72</v>
      </c>
      <c r="N714" s="6">
        <v>18277.78</v>
      </c>
      <c r="O714" s="6">
        <v>17943.89</v>
      </c>
      <c r="P714" s="37">
        <v>593070</v>
      </c>
    </row>
    <row r="715" spans="2:16" ht="15" thickBot="1">
      <c r="B715" s="9">
        <f t="shared" si="71"/>
        <v>7</v>
      </c>
      <c r="C715" s="15">
        <f t="shared" si="66"/>
        <v>2</v>
      </c>
      <c r="D715" s="25">
        <f t="shared" si="67"/>
        <v>41618</v>
      </c>
      <c r="E715" s="16">
        <f t="shared" si="68"/>
        <v>-2.0272871649260615E-3</v>
      </c>
      <c r="F715" s="17">
        <f t="shared" si="69"/>
        <v>-2.6687783557699518E-3</v>
      </c>
      <c r="G715" s="18">
        <f t="shared" si="70"/>
        <v>-6.4149119084389028E-4</v>
      </c>
      <c r="J715" s="28"/>
      <c r="K715" s="8">
        <v>41618</v>
      </c>
      <c r="L715" s="7">
        <v>18236.72</v>
      </c>
      <c r="M715" s="6">
        <v>18248.45</v>
      </c>
      <c r="N715" s="6">
        <v>18370.689999999999</v>
      </c>
      <c r="O715" s="6">
        <v>18174.98</v>
      </c>
      <c r="P715" s="37">
        <v>650940</v>
      </c>
    </row>
    <row r="716" spans="2:16" ht="15" thickBot="1">
      <c r="B716" s="9">
        <f t="shared" si="71"/>
        <v>6</v>
      </c>
      <c r="C716" s="15">
        <f t="shared" si="66"/>
        <v>1</v>
      </c>
      <c r="D716" s="25">
        <f t="shared" si="67"/>
        <v>41617</v>
      </c>
      <c r="E716" s="16">
        <f t="shared" si="68"/>
        <v>1.091898817008552E-3</v>
      </c>
      <c r="F716" s="17">
        <f t="shared" si="69"/>
        <v>8.8902302367142028E-3</v>
      </c>
      <c r="G716" s="18">
        <f t="shared" si="70"/>
        <v>7.7983314197056508E-3</v>
      </c>
      <c r="J716" s="28"/>
      <c r="K716" s="8">
        <v>41617</v>
      </c>
      <c r="L716" s="5">
        <v>18285.52</v>
      </c>
      <c r="M716" s="6">
        <v>18144.18</v>
      </c>
      <c r="N716" s="6">
        <v>18291.88</v>
      </c>
      <c r="O716" s="6">
        <v>18081.18</v>
      </c>
      <c r="P716" s="37">
        <v>620330</v>
      </c>
    </row>
    <row r="717" spans="2:16" ht="15" thickBot="1">
      <c r="B717" s="9">
        <f t="shared" si="71"/>
        <v>5</v>
      </c>
      <c r="C717" s="15">
        <f t="shared" si="66"/>
        <v>5</v>
      </c>
      <c r="D717" s="25">
        <f t="shared" si="67"/>
        <v>41614</v>
      </c>
      <c r="E717" s="16">
        <f t="shared" si="68"/>
        <v>3.436869203339965E-3</v>
      </c>
      <c r="F717" s="17">
        <f t="shared" si="69"/>
        <v>7.2955663053433373E-3</v>
      </c>
      <c r="G717" s="18">
        <f t="shared" si="70"/>
        <v>3.8586971020033722E-3</v>
      </c>
      <c r="J717" s="28"/>
      <c r="K717" s="8">
        <v>41614</v>
      </c>
      <c r="L717" s="5">
        <v>18124.39</v>
      </c>
      <c r="M717" s="6">
        <v>18054.96</v>
      </c>
      <c r="N717" s="6">
        <v>18158.55</v>
      </c>
      <c r="O717" s="6">
        <v>17793.37</v>
      </c>
      <c r="P717" s="37">
        <v>1110000</v>
      </c>
    </row>
    <row r="718" spans="2:16" ht="15" thickBot="1">
      <c r="B718" s="9">
        <f t="shared" si="71"/>
        <v>4</v>
      </c>
      <c r="C718" s="15">
        <f t="shared" si="66"/>
        <v>4</v>
      </c>
      <c r="D718" s="25">
        <f t="shared" si="67"/>
        <v>41613</v>
      </c>
      <c r="E718" s="16">
        <f t="shared" si="68"/>
        <v>-1.4345032152093262E-3</v>
      </c>
      <c r="F718" s="17">
        <f t="shared" si="69"/>
        <v>-1.7465226812050094E-2</v>
      </c>
      <c r="G718" s="18">
        <f t="shared" si="70"/>
        <v>-1.6030723596840768E-2</v>
      </c>
      <c r="J718" s="28"/>
      <c r="K718" s="8">
        <v>41613</v>
      </c>
      <c r="L718" s="7">
        <v>17993.12</v>
      </c>
      <c r="M718" s="6">
        <v>18286.689999999999</v>
      </c>
      <c r="N718" s="6">
        <v>18392.400000000001</v>
      </c>
      <c r="O718" s="6">
        <v>17993.12</v>
      </c>
      <c r="P718" s="37">
        <v>981990</v>
      </c>
    </row>
    <row r="719" spans="2:16" ht="15" thickBot="1">
      <c r="B719" s="9">
        <f t="shared" si="71"/>
        <v>3</v>
      </c>
      <c r="C719" s="15">
        <f t="shared" si="66"/>
        <v>3</v>
      </c>
      <c r="D719" s="25">
        <f t="shared" si="67"/>
        <v>41612</v>
      </c>
      <c r="E719" s="16">
        <f t="shared" si="68"/>
        <v>2.7130548409490807E-3</v>
      </c>
      <c r="F719" s="17">
        <f t="shared" si="69"/>
        <v>-2.9286618481767501E-3</v>
      </c>
      <c r="G719" s="18">
        <f t="shared" si="70"/>
        <v>-5.6417166891258308E-3</v>
      </c>
      <c r="J719" s="28"/>
      <c r="K719" s="8">
        <v>41612</v>
      </c>
      <c r="L719" s="7">
        <v>18312.96</v>
      </c>
      <c r="M719" s="6">
        <v>18416.580000000002</v>
      </c>
      <c r="N719" s="6">
        <v>18487.04</v>
      </c>
      <c r="O719" s="6">
        <v>18151.75</v>
      </c>
      <c r="P719" s="37">
        <v>916550</v>
      </c>
    </row>
    <row r="720" spans="2:16" ht="15" thickBot="1">
      <c r="B720" s="9">
        <f t="shared" si="71"/>
        <v>2</v>
      </c>
      <c r="C720" s="15">
        <f t="shared" si="66"/>
        <v>2</v>
      </c>
      <c r="D720" s="25">
        <f t="shared" si="67"/>
        <v>41611</v>
      </c>
      <c r="E720" s="16">
        <f t="shared" si="68"/>
        <v>1.0639229235085423E-3</v>
      </c>
      <c r="F720" s="17">
        <f t="shared" si="69"/>
        <v>-1.9528030338619051E-2</v>
      </c>
      <c r="G720" s="18">
        <f t="shared" si="70"/>
        <v>-2.0591953262127594E-2</v>
      </c>
      <c r="J720" s="28"/>
      <c r="K720" s="8">
        <v>41611</v>
      </c>
      <c r="L720" s="7">
        <v>18366.75</v>
      </c>
      <c r="M720" s="6">
        <v>18752.490000000002</v>
      </c>
      <c r="N720" s="6">
        <v>18792.54</v>
      </c>
      <c r="O720" s="6">
        <v>18366.75</v>
      </c>
      <c r="P720" s="37">
        <v>724260</v>
      </c>
    </row>
    <row r="721" spans="2:16" ht="15" thickBot="1">
      <c r="B721" s="19">
        <v>1</v>
      </c>
      <c r="C721" s="15">
        <f t="shared" si="66"/>
        <v>1</v>
      </c>
      <c r="D721" s="25">
        <f t="shared" si="67"/>
        <v>41610</v>
      </c>
      <c r="E721" s="16">
        <f t="shared" si="68"/>
        <v>-5.6515055610817377E-4</v>
      </c>
      <c r="F721" s="17">
        <f t="shared" si="69"/>
        <v>-1.5189144062396687E-2</v>
      </c>
      <c r="G721" s="18">
        <f t="shared" si="70"/>
        <v>-1.4623993506288513E-2</v>
      </c>
      <c r="J721" s="28"/>
      <c r="K721" s="8">
        <v>41610</v>
      </c>
      <c r="L721" s="7">
        <v>18732.560000000001</v>
      </c>
      <c r="M721" s="6">
        <v>19010.73</v>
      </c>
      <c r="N721" s="6">
        <v>19054.59</v>
      </c>
      <c r="O721" s="6">
        <v>18732.560000000001</v>
      </c>
      <c r="P721" s="37">
        <v>553830</v>
      </c>
    </row>
    <row r="722" spans="2:16" ht="15" thickBot="1">
      <c r="B722" s="9">
        <f t="shared" si="71"/>
        <v>21</v>
      </c>
      <c r="C722" s="15">
        <f t="shared" si="66"/>
        <v>5</v>
      </c>
      <c r="D722" s="25">
        <f t="shared" si="67"/>
        <v>41607</v>
      </c>
      <c r="E722" s="16">
        <f t="shared" si="68"/>
        <v>-4.2200366923295096E-4</v>
      </c>
      <c r="F722" s="17">
        <f t="shared" si="69"/>
        <v>-4.0776235434067942E-3</v>
      </c>
      <c r="G722" s="18">
        <f t="shared" si="70"/>
        <v>-3.6556198741738433E-3</v>
      </c>
      <c r="J722" s="28"/>
      <c r="K722" s="8">
        <v>41607</v>
      </c>
      <c r="L722" s="7">
        <v>19021.48</v>
      </c>
      <c r="M722" s="6">
        <v>19091.3</v>
      </c>
      <c r="N722" s="6">
        <v>19178.599999999999</v>
      </c>
      <c r="O722" s="6">
        <v>19021.48</v>
      </c>
      <c r="P722" s="37">
        <v>722980</v>
      </c>
    </row>
    <row r="723" spans="2:16" ht="15" thickBot="1">
      <c r="B723" s="9">
        <f t="shared" si="71"/>
        <v>20</v>
      </c>
      <c r="C723" s="15">
        <f t="shared" si="66"/>
        <v>4</v>
      </c>
      <c r="D723" s="25">
        <f t="shared" si="67"/>
        <v>41606</v>
      </c>
      <c r="E723" s="16">
        <f t="shared" si="68"/>
        <v>4.2378277381160956E-4</v>
      </c>
      <c r="F723" s="17">
        <f t="shared" si="69"/>
        <v>9.2244088309565431E-3</v>
      </c>
      <c r="G723" s="18">
        <f t="shared" si="70"/>
        <v>8.8006260571449335E-3</v>
      </c>
      <c r="J723" s="28"/>
      <c r="K723" s="8">
        <v>41606</v>
      </c>
      <c r="L723" s="5">
        <v>19099.36</v>
      </c>
      <c r="M723" s="6">
        <v>18932.810000000001</v>
      </c>
      <c r="N723" s="6">
        <v>19152.61</v>
      </c>
      <c r="O723" s="6">
        <v>18918.11</v>
      </c>
      <c r="P723" s="37">
        <v>646850</v>
      </c>
    </row>
    <row r="724" spans="2:16" ht="15" thickBot="1">
      <c r="B724" s="9">
        <f t="shared" si="71"/>
        <v>19</v>
      </c>
      <c r="C724" s="15">
        <f t="shared" si="66"/>
        <v>3</v>
      </c>
      <c r="D724" s="25">
        <f t="shared" si="67"/>
        <v>41605</v>
      </c>
      <c r="E724" s="16">
        <f t="shared" si="68"/>
        <v>2.1918295624809847E-3</v>
      </c>
      <c r="F724" s="17">
        <f t="shared" si="69"/>
        <v>8.0173556681564229E-3</v>
      </c>
      <c r="G724" s="18">
        <f t="shared" si="70"/>
        <v>5.8255261056754382E-3</v>
      </c>
      <c r="J724" s="28"/>
      <c r="K724" s="8">
        <v>41605</v>
      </c>
      <c r="L724" s="5">
        <v>18924.79</v>
      </c>
      <c r="M724" s="6">
        <v>18815.419999999998</v>
      </c>
      <c r="N724" s="6">
        <v>19008.25</v>
      </c>
      <c r="O724" s="6">
        <v>18793.05</v>
      </c>
      <c r="P724" s="37">
        <v>835760</v>
      </c>
    </row>
    <row r="725" spans="2:16" ht="15" thickBot="1">
      <c r="B725" s="9">
        <f t="shared" si="71"/>
        <v>18</v>
      </c>
      <c r="C725" s="15">
        <f t="shared" si="66"/>
        <v>2</v>
      </c>
      <c r="D725" s="25">
        <f t="shared" si="67"/>
        <v>41604</v>
      </c>
      <c r="E725" s="16">
        <f t="shared" si="68"/>
        <v>-5.1798576470774016E-4</v>
      </c>
      <c r="F725" s="17">
        <f t="shared" si="69"/>
        <v>-5.3395654881993604E-4</v>
      </c>
      <c r="G725" s="18">
        <f t="shared" si="70"/>
        <v>-1.5970784112195879E-5</v>
      </c>
      <c r="J725" s="28"/>
      <c r="K725" s="8">
        <v>41604</v>
      </c>
      <c r="L725" s="7">
        <v>18774.27</v>
      </c>
      <c r="M725" s="6">
        <v>18774.57</v>
      </c>
      <c r="N725" s="6">
        <v>18852.77</v>
      </c>
      <c r="O725" s="6">
        <v>18618.18</v>
      </c>
      <c r="P725" s="37">
        <v>1360000</v>
      </c>
    </row>
    <row r="726" spans="2:16" ht="15" thickBot="1">
      <c r="B726" s="9">
        <f t="shared" si="71"/>
        <v>17</v>
      </c>
      <c r="C726" s="15">
        <f t="shared" si="66"/>
        <v>1</v>
      </c>
      <c r="D726" s="25">
        <f t="shared" si="67"/>
        <v>41603</v>
      </c>
      <c r="E726" s="16">
        <f t="shared" si="68"/>
        <v>5.3224072921973509E-3</v>
      </c>
      <c r="F726" s="17">
        <f t="shared" si="69"/>
        <v>-2.0194120700383067E-3</v>
      </c>
      <c r="G726" s="18">
        <f t="shared" si="70"/>
        <v>-7.3418193622356576E-3</v>
      </c>
      <c r="J726" s="28"/>
      <c r="K726" s="8">
        <v>41603</v>
      </c>
      <c r="L726" s="7">
        <v>18784.3</v>
      </c>
      <c r="M726" s="6">
        <v>18922.490000000002</v>
      </c>
      <c r="N726" s="6">
        <v>18934.38</v>
      </c>
      <c r="O726" s="6">
        <v>18699.78</v>
      </c>
      <c r="P726" s="37">
        <v>896310</v>
      </c>
    </row>
    <row r="727" spans="2:16" ht="15" thickBot="1">
      <c r="B727" s="9">
        <f t="shared" si="71"/>
        <v>16</v>
      </c>
      <c r="C727" s="15">
        <f t="shared" si="66"/>
        <v>5</v>
      </c>
      <c r="D727" s="25">
        <f t="shared" si="67"/>
        <v>41600</v>
      </c>
      <c r="E727" s="16">
        <f t="shared" si="68"/>
        <v>8.1149144059633471E-4</v>
      </c>
      <c r="F727" s="17">
        <f t="shared" si="69"/>
        <v>-1.037053155608203E-3</v>
      </c>
      <c r="G727" s="18">
        <f t="shared" si="70"/>
        <v>-1.8485445962045377E-3</v>
      </c>
      <c r="J727" s="28"/>
      <c r="K727" s="8">
        <v>41600</v>
      </c>
      <c r="L727" s="7">
        <v>18822.310000000001</v>
      </c>
      <c r="M727" s="6">
        <v>18857.14</v>
      </c>
      <c r="N727" s="6">
        <v>18885.98</v>
      </c>
      <c r="O727" s="6">
        <v>18720.669999999998</v>
      </c>
      <c r="P727" s="37">
        <v>523290</v>
      </c>
    </row>
    <row r="728" spans="2:16" ht="15" thickBot="1">
      <c r="B728" s="9">
        <f t="shared" si="71"/>
        <v>15</v>
      </c>
      <c r="C728" s="15">
        <f t="shared" si="66"/>
        <v>4</v>
      </c>
      <c r="D728" s="25">
        <f t="shared" si="67"/>
        <v>41599</v>
      </c>
      <c r="E728" s="16">
        <f t="shared" si="68"/>
        <v>-3.5796190247353588E-3</v>
      </c>
      <c r="F728" s="17">
        <f t="shared" si="69"/>
        <v>6.0657028820096937E-3</v>
      </c>
      <c r="G728" s="18">
        <f t="shared" si="70"/>
        <v>9.6453219067450524E-3</v>
      </c>
      <c r="J728" s="28"/>
      <c r="K728" s="8">
        <v>41599</v>
      </c>
      <c r="L728" s="5">
        <v>18841.849999999999</v>
      </c>
      <c r="M728" s="6">
        <v>18661.21</v>
      </c>
      <c r="N728" s="6">
        <v>18857.43</v>
      </c>
      <c r="O728" s="6">
        <v>18556.400000000001</v>
      </c>
      <c r="P728" s="37">
        <v>622270</v>
      </c>
    </row>
    <row r="729" spans="2:16" ht="15" thickBot="1">
      <c r="B729" s="9">
        <f t="shared" si="71"/>
        <v>14</v>
      </c>
      <c r="C729" s="15">
        <f t="shared" si="66"/>
        <v>3</v>
      </c>
      <c r="D729" s="25">
        <f t="shared" si="67"/>
        <v>41598</v>
      </c>
      <c r="E729" s="16">
        <f t="shared" si="68"/>
        <v>-1.5143780659228057E-3</v>
      </c>
      <c r="F729" s="17">
        <f t="shared" si="69"/>
        <v>-2.0530959493316736E-3</v>
      </c>
      <c r="G729" s="18">
        <f t="shared" si="70"/>
        <v>-5.3871788340886795E-4</v>
      </c>
      <c r="J729" s="28"/>
      <c r="K729" s="8">
        <v>41598</v>
      </c>
      <c r="L729" s="7">
        <v>18728.25</v>
      </c>
      <c r="M729" s="6">
        <v>18738.36</v>
      </c>
      <c r="N729" s="6">
        <v>18856.98</v>
      </c>
      <c r="O729" s="6">
        <v>18600.560000000001</v>
      </c>
      <c r="P729" s="37">
        <v>578420</v>
      </c>
    </row>
    <row r="730" spans="2:16" ht="15" thickBot="1">
      <c r="B730" s="9">
        <f t="shared" si="71"/>
        <v>13</v>
      </c>
      <c r="C730" s="15">
        <f t="shared" si="66"/>
        <v>2</v>
      </c>
      <c r="D730" s="25">
        <f t="shared" si="67"/>
        <v>41597</v>
      </c>
      <c r="E730" s="16">
        <f t="shared" si="68"/>
        <v>-5.2482379382647881E-3</v>
      </c>
      <c r="F730" s="17">
        <f t="shared" si="69"/>
        <v>-1.7726869701122139E-2</v>
      </c>
      <c r="G730" s="18">
        <f t="shared" si="70"/>
        <v>-1.2478631762857351E-2</v>
      </c>
      <c r="J730" s="28"/>
      <c r="K730" s="8">
        <v>41597</v>
      </c>
      <c r="L730" s="7">
        <v>18766.78</v>
      </c>
      <c r="M730" s="6">
        <v>19005.189999999999</v>
      </c>
      <c r="N730" s="6">
        <v>19064.02</v>
      </c>
      <c r="O730" s="6">
        <v>18766.78</v>
      </c>
      <c r="P730" s="37">
        <v>547920</v>
      </c>
    </row>
    <row r="731" spans="2:16" ht="15" thickBot="1">
      <c r="B731" s="9">
        <f t="shared" si="71"/>
        <v>12</v>
      </c>
      <c r="C731" s="15">
        <f t="shared" si="66"/>
        <v>1</v>
      </c>
      <c r="D731" s="25">
        <f t="shared" si="67"/>
        <v>41596</v>
      </c>
      <c r="E731" s="16">
        <f t="shared" si="68"/>
        <v>-2.2972956340681083E-3</v>
      </c>
      <c r="F731" s="17">
        <f t="shared" si="69"/>
        <v>2.2382712435631058E-2</v>
      </c>
      <c r="G731" s="18">
        <f t="shared" si="70"/>
        <v>2.4680008069699166E-2</v>
      </c>
      <c r="J731" s="28"/>
      <c r="K731" s="8">
        <v>41596</v>
      </c>
      <c r="L731" s="5">
        <v>19105.46</v>
      </c>
      <c r="M731" s="6">
        <v>18644.259999999998</v>
      </c>
      <c r="N731" s="6">
        <v>19116.240000000002</v>
      </c>
      <c r="O731" s="6">
        <v>18578.36</v>
      </c>
      <c r="P731" s="37">
        <v>713770</v>
      </c>
    </row>
    <row r="732" spans="2:16" ht="15" thickBot="1">
      <c r="B732" s="9">
        <f t="shared" si="71"/>
        <v>11</v>
      </c>
      <c r="C732" s="15">
        <f t="shared" si="66"/>
        <v>5</v>
      </c>
      <c r="D732" s="25">
        <f t="shared" si="67"/>
        <v>41593</v>
      </c>
      <c r="E732" s="16">
        <f t="shared" si="68"/>
        <v>1.9620719394397579E-3</v>
      </c>
      <c r="F732" s="17">
        <f t="shared" si="69"/>
        <v>-3.9225447982440542E-3</v>
      </c>
      <c r="G732" s="18">
        <f t="shared" si="70"/>
        <v>-5.8846167376838121E-3</v>
      </c>
      <c r="J732" s="28"/>
      <c r="K732" s="8">
        <v>41593</v>
      </c>
      <c r="L732" s="7">
        <v>18687.189999999999</v>
      </c>
      <c r="M732" s="6">
        <v>18797.59</v>
      </c>
      <c r="N732" s="6">
        <v>18821.759999999998</v>
      </c>
      <c r="O732" s="6">
        <v>18562.37</v>
      </c>
      <c r="P732" s="37">
        <v>733840</v>
      </c>
    </row>
    <row r="733" spans="2:16" ht="15" thickBot="1">
      <c r="B733" s="9">
        <f t="shared" si="71"/>
        <v>10</v>
      </c>
      <c r="C733" s="15">
        <f t="shared" si="66"/>
        <v>4</v>
      </c>
      <c r="D733" s="25">
        <f t="shared" si="67"/>
        <v>41592</v>
      </c>
      <c r="E733" s="16">
        <f t="shared" si="68"/>
        <v>9.4293392095881057E-3</v>
      </c>
      <c r="F733" s="17">
        <f t="shared" si="69"/>
        <v>1.4818753196226275E-3</v>
      </c>
      <c r="G733" s="18">
        <f t="shared" si="70"/>
        <v>-7.9474638899654781E-3</v>
      </c>
      <c r="J733" s="28"/>
      <c r="K733" s="8">
        <v>41592</v>
      </c>
      <c r="L733" s="5">
        <v>18760.78</v>
      </c>
      <c r="M733" s="6">
        <v>18909.66</v>
      </c>
      <c r="N733" s="6">
        <v>18914.22</v>
      </c>
      <c r="O733" s="6">
        <v>18491.77</v>
      </c>
      <c r="P733" s="37">
        <v>774330</v>
      </c>
    </row>
    <row r="734" spans="2:16" ht="15" thickBot="1">
      <c r="B734" s="9">
        <f t="shared" si="71"/>
        <v>9</v>
      </c>
      <c r="C734" s="15">
        <f t="shared" si="66"/>
        <v>3</v>
      </c>
      <c r="D734" s="25">
        <f t="shared" si="67"/>
        <v>41591</v>
      </c>
      <c r="E734" s="16">
        <f t="shared" si="68"/>
        <v>-4.9565851548696305E-3</v>
      </c>
      <c r="F734" s="17">
        <f t="shared" si="69"/>
        <v>-1.4312008090493933E-2</v>
      </c>
      <c r="G734" s="18">
        <f t="shared" si="70"/>
        <v>-9.3554229356243024E-3</v>
      </c>
      <c r="J734" s="28"/>
      <c r="K734" s="8">
        <v>41591</v>
      </c>
      <c r="L734" s="7">
        <v>18733.02</v>
      </c>
      <c r="M734" s="6">
        <v>18910.82</v>
      </c>
      <c r="N734" s="6">
        <v>19061.45</v>
      </c>
      <c r="O734" s="6">
        <v>18687.939999999999</v>
      </c>
      <c r="P734" s="37">
        <v>854910</v>
      </c>
    </row>
    <row r="735" spans="2:16" ht="15" thickBot="1">
      <c r="B735" s="9">
        <f t="shared" si="71"/>
        <v>8</v>
      </c>
      <c r="C735" s="15">
        <f t="shared" si="66"/>
        <v>2</v>
      </c>
      <c r="D735" s="25">
        <f t="shared" si="67"/>
        <v>41590</v>
      </c>
      <c r="E735" s="16">
        <f t="shared" si="68"/>
        <v>-1.127285382709009E-3</v>
      </c>
      <c r="F735" s="17">
        <f t="shared" si="69"/>
        <v>-5.3815578414105891E-3</v>
      </c>
      <c r="G735" s="18">
        <f t="shared" si="70"/>
        <v>-4.2542724587015801E-3</v>
      </c>
      <c r="J735" s="28"/>
      <c r="K735" s="8">
        <v>41590</v>
      </c>
      <c r="L735" s="7">
        <v>19005.02</v>
      </c>
      <c r="M735" s="6">
        <v>19086.310000000001</v>
      </c>
      <c r="N735" s="6">
        <v>19215.099999999999</v>
      </c>
      <c r="O735" s="6">
        <v>18974.89</v>
      </c>
      <c r="P735" s="37">
        <v>665230</v>
      </c>
    </row>
    <row r="736" spans="2:16" ht="15" thickBot="1">
      <c r="B736" s="9">
        <f t="shared" si="71"/>
        <v>7</v>
      </c>
      <c r="C736" s="15">
        <f t="shared" si="66"/>
        <v>1</v>
      </c>
      <c r="D736" s="25">
        <f t="shared" si="67"/>
        <v>41589</v>
      </c>
      <c r="E736" s="16">
        <f t="shared" si="68"/>
        <v>3.2212284651542689E-3</v>
      </c>
      <c r="F736" s="17">
        <f t="shared" si="69"/>
        <v>7.7071108038251346E-3</v>
      </c>
      <c r="G736" s="18">
        <f t="shared" si="70"/>
        <v>4.4858823386708657E-3</v>
      </c>
      <c r="J736" s="28"/>
      <c r="K736" s="8">
        <v>41589</v>
      </c>
      <c r="L736" s="5">
        <v>19107.849999999999</v>
      </c>
      <c r="M736" s="6">
        <v>19022.79</v>
      </c>
      <c r="N736" s="6">
        <v>19107.849999999999</v>
      </c>
      <c r="O736" s="6">
        <v>18894.099999999999</v>
      </c>
      <c r="P736" s="37">
        <v>567350</v>
      </c>
    </row>
    <row r="737" spans="2:16" ht="15" thickBot="1">
      <c r="B737" s="9">
        <f t="shared" si="71"/>
        <v>6</v>
      </c>
      <c r="C737" s="15">
        <f t="shared" si="66"/>
        <v>5</v>
      </c>
      <c r="D737" s="25">
        <f t="shared" si="67"/>
        <v>41586</v>
      </c>
      <c r="E737" s="16">
        <f t="shared" si="68"/>
        <v>-3.4771019661874458E-3</v>
      </c>
      <c r="F737" s="17">
        <f t="shared" si="69"/>
        <v>5.2111468711117936E-3</v>
      </c>
      <c r="G737" s="18">
        <f t="shared" si="70"/>
        <v>8.6882488372992395E-3</v>
      </c>
      <c r="J737" s="28"/>
      <c r="K737" s="8">
        <v>41586</v>
      </c>
      <c r="L737" s="5">
        <v>18961.71</v>
      </c>
      <c r="M737" s="6">
        <v>18797.82</v>
      </c>
      <c r="N737" s="6">
        <v>18964.46</v>
      </c>
      <c r="O737" s="6">
        <v>18714.810000000001</v>
      </c>
      <c r="P737" s="37">
        <v>1570000</v>
      </c>
    </row>
    <row r="738" spans="2:16" ht="15" thickBot="1">
      <c r="B738" s="9">
        <f t="shared" si="71"/>
        <v>5</v>
      </c>
      <c r="C738" s="15">
        <f t="shared" si="66"/>
        <v>4</v>
      </c>
      <c r="D738" s="25">
        <f t="shared" si="67"/>
        <v>41585</v>
      </c>
      <c r="E738" s="16">
        <f t="shared" si="68"/>
        <v>-1.2090843820455888E-3</v>
      </c>
      <c r="F738" s="17">
        <f t="shared" si="69"/>
        <v>-2.0719002871380621E-2</v>
      </c>
      <c r="G738" s="18">
        <f t="shared" si="70"/>
        <v>-1.9509918489335032E-2</v>
      </c>
      <c r="J738" s="28"/>
      <c r="K738" s="8">
        <v>41585</v>
      </c>
      <c r="L738" s="7">
        <v>18863.41</v>
      </c>
      <c r="M738" s="6">
        <v>19239.22</v>
      </c>
      <c r="N738" s="6">
        <v>19482.8</v>
      </c>
      <c r="O738" s="6">
        <v>18772.62</v>
      </c>
      <c r="P738" s="37">
        <v>1180000</v>
      </c>
    </row>
    <row r="739" spans="2:16" ht="15" thickBot="1">
      <c r="B739" s="9">
        <f t="shared" si="71"/>
        <v>4</v>
      </c>
      <c r="C739" s="15">
        <f t="shared" si="66"/>
        <v>3</v>
      </c>
      <c r="D739" s="25">
        <f t="shared" si="67"/>
        <v>41584</v>
      </c>
      <c r="E739" s="16">
        <f t="shared" si="68"/>
        <v>4.3217212717623354E-3</v>
      </c>
      <c r="F739" s="17">
        <f t="shared" si="69"/>
        <v>8.9346650652919468E-3</v>
      </c>
      <c r="G739" s="18">
        <f t="shared" si="70"/>
        <v>4.6129437935296114E-3</v>
      </c>
      <c r="J739" s="28"/>
      <c r="K739" s="8">
        <v>41584</v>
      </c>
      <c r="L739" s="5">
        <v>19262.509999999998</v>
      </c>
      <c r="M739" s="6">
        <v>19174.439999999999</v>
      </c>
      <c r="N739" s="6">
        <v>19290.25</v>
      </c>
      <c r="O739" s="6">
        <v>19167.400000000001</v>
      </c>
      <c r="P739" s="37">
        <v>635620</v>
      </c>
    </row>
    <row r="740" spans="2:16" ht="15" thickBot="1">
      <c r="B740" s="9">
        <f t="shared" si="71"/>
        <v>3</v>
      </c>
      <c r="C740" s="15">
        <f t="shared" si="66"/>
        <v>2</v>
      </c>
      <c r="D740" s="25">
        <f t="shared" si="67"/>
        <v>41583</v>
      </c>
      <c r="E740" s="16">
        <f t="shared" si="68"/>
        <v>3.2101390473360247E-3</v>
      </c>
      <c r="F740" s="17">
        <f t="shared" si="69"/>
        <v>-1.1328440361271341E-2</v>
      </c>
      <c r="G740" s="18">
        <f t="shared" si="70"/>
        <v>-1.4538579408607366E-2</v>
      </c>
      <c r="J740" s="28"/>
      <c r="K740" s="8">
        <v>41583</v>
      </c>
      <c r="L740" s="7">
        <v>19091.93</v>
      </c>
      <c r="M740" s="6">
        <v>19372.68</v>
      </c>
      <c r="N740" s="6">
        <v>19399.939999999999</v>
      </c>
      <c r="O740" s="6">
        <v>19031.599999999999</v>
      </c>
      <c r="P740" s="37">
        <v>832370</v>
      </c>
    </row>
    <row r="741" spans="2:16" ht="15" thickBot="1">
      <c r="B741" s="9">
        <f t="shared" si="71"/>
        <v>2</v>
      </c>
      <c r="C741" s="15">
        <f t="shared" si="66"/>
        <v>1</v>
      </c>
      <c r="D741" s="25">
        <f t="shared" si="67"/>
        <v>41582</v>
      </c>
      <c r="E741" s="16">
        <f t="shared" si="68"/>
        <v>3.5070490590298764E-3</v>
      </c>
      <c r="F741" s="17">
        <f t="shared" si="69"/>
        <v>7.6407855038493899E-3</v>
      </c>
      <c r="G741" s="18">
        <f t="shared" si="70"/>
        <v>4.1337364448195135E-3</v>
      </c>
      <c r="J741" s="28"/>
      <c r="K741" s="8">
        <v>41582</v>
      </c>
      <c r="L741" s="5">
        <v>19310.689999999999</v>
      </c>
      <c r="M741" s="6">
        <v>19231.47</v>
      </c>
      <c r="N741" s="6">
        <v>19337.77</v>
      </c>
      <c r="O741" s="6">
        <v>19161.72</v>
      </c>
      <c r="P741" s="37">
        <v>645850</v>
      </c>
    </row>
    <row r="742" spans="2:16" ht="15" thickBot="1">
      <c r="B742" s="19">
        <v>1</v>
      </c>
      <c r="C742" s="15">
        <f t="shared" si="66"/>
        <v>5</v>
      </c>
      <c r="D742" s="25">
        <f t="shared" si="67"/>
        <v>41579</v>
      </c>
      <c r="E742" s="16">
        <f t="shared" si="68"/>
        <v>-1.1937046805632345E-4</v>
      </c>
      <c r="F742" s="17">
        <f t="shared" si="69"/>
        <v>-9.6767592416514558E-3</v>
      </c>
      <c r="G742" s="18">
        <f t="shared" si="70"/>
        <v>-9.5573887735951324E-3</v>
      </c>
      <c r="J742" s="28"/>
      <c r="K742" s="8">
        <v>41579</v>
      </c>
      <c r="L742" s="7">
        <v>19164.259999999998</v>
      </c>
      <c r="M742" s="6">
        <v>19349.21</v>
      </c>
      <c r="N742" s="6">
        <v>19368.98</v>
      </c>
      <c r="O742" s="6">
        <v>19164.259999999998</v>
      </c>
      <c r="P742" s="37">
        <v>557760</v>
      </c>
    </row>
    <row r="743" spans="2:16" ht="15" thickBot="1">
      <c r="B743" s="9">
        <f t="shared" si="71"/>
        <v>23</v>
      </c>
      <c r="C743" s="15">
        <f t="shared" si="66"/>
        <v>4</v>
      </c>
      <c r="D743" s="25">
        <f t="shared" si="67"/>
        <v>41578</v>
      </c>
      <c r="E743" s="16">
        <f t="shared" si="68"/>
        <v>-3.1408264129936247E-3</v>
      </c>
      <c r="F743" s="17">
        <f t="shared" si="69"/>
        <v>9.6306502919352166E-3</v>
      </c>
      <c r="G743" s="18">
        <f t="shared" si="70"/>
        <v>1.2771476704928841E-2</v>
      </c>
      <c r="J743" s="28"/>
      <c r="K743" s="8">
        <v>41578</v>
      </c>
      <c r="L743" s="5">
        <v>19351.52</v>
      </c>
      <c r="M743" s="6">
        <v>19106.73</v>
      </c>
      <c r="N743" s="6">
        <v>19351.52</v>
      </c>
      <c r="O743" s="6">
        <v>19095.21</v>
      </c>
      <c r="P743" s="37">
        <v>901350</v>
      </c>
    </row>
    <row r="744" spans="2:16" ht="15" thickBot="1">
      <c r="B744" s="9">
        <f t="shared" si="71"/>
        <v>22</v>
      </c>
      <c r="C744" s="15">
        <f t="shared" si="66"/>
        <v>3</v>
      </c>
      <c r="D744" s="25">
        <f t="shared" si="67"/>
        <v>41577</v>
      </c>
      <c r="E744" s="16">
        <f t="shared" si="68"/>
        <v>2.584008848776298E-3</v>
      </c>
      <c r="F744" s="17">
        <f t="shared" si="69"/>
        <v>-4.6720915619856695E-3</v>
      </c>
      <c r="G744" s="18">
        <f t="shared" si="70"/>
        <v>-7.2561004107619675E-3</v>
      </c>
      <c r="J744" s="28"/>
      <c r="K744" s="8">
        <v>41577</v>
      </c>
      <c r="L744" s="7">
        <v>19166.93</v>
      </c>
      <c r="M744" s="6">
        <v>19306.66</v>
      </c>
      <c r="N744" s="6">
        <v>19501.18</v>
      </c>
      <c r="O744" s="6">
        <v>19085.36</v>
      </c>
      <c r="P744" s="37">
        <v>907050</v>
      </c>
    </row>
    <row r="745" spans="2:16" ht="15" thickBot="1">
      <c r="B745" s="9">
        <f t="shared" si="71"/>
        <v>21</v>
      </c>
      <c r="C745" s="15">
        <f t="shared" si="66"/>
        <v>2</v>
      </c>
      <c r="D745" s="25">
        <f t="shared" si="67"/>
        <v>41576</v>
      </c>
      <c r="E745" s="16">
        <f t="shared" si="68"/>
        <v>-6.6332367114851909E-4</v>
      </c>
      <c r="F745" s="17">
        <f t="shared" si="69"/>
        <v>2.2702770451771936E-2</v>
      </c>
      <c r="G745" s="18">
        <f t="shared" si="70"/>
        <v>2.3366094122920456E-2</v>
      </c>
      <c r="J745" s="28"/>
      <c r="K745" s="8">
        <v>41576</v>
      </c>
      <c r="L745" s="5">
        <v>19256.900000000001</v>
      </c>
      <c r="M745" s="6">
        <v>18816.93</v>
      </c>
      <c r="N745" s="6">
        <v>19256.900000000001</v>
      </c>
      <c r="O745" s="6">
        <v>18813.03</v>
      </c>
      <c r="P745" s="37">
        <v>950960</v>
      </c>
    </row>
    <row r="746" spans="2:16" ht="15" thickBot="1">
      <c r="B746" s="9">
        <f t="shared" si="71"/>
        <v>20</v>
      </c>
      <c r="C746" s="15">
        <f t="shared" si="66"/>
        <v>1</v>
      </c>
      <c r="D746" s="25">
        <f t="shared" si="67"/>
        <v>41575</v>
      </c>
      <c r="E746" s="16">
        <f t="shared" si="68"/>
        <v>4.3931707704736311E-3</v>
      </c>
      <c r="F746" s="17">
        <f t="shared" si="69"/>
        <v>-2.4016212135260506E-3</v>
      </c>
      <c r="G746" s="18">
        <f t="shared" si="70"/>
        <v>-6.7947919839996818E-3</v>
      </c>
      <c r="J746" s="28"/>
      <c r="K746" s="8">
        <v>41575</v>
      </c>
      <c r="L746" s="7">
        <v>18829.419999999998</v>
      </c>
      <c r="M746" s="6">
        <v>18957.669999999998</v>
      </c>
      <c r="N746" s="6">
        <v>19009.52</v>
      </c>
      <c r="O746" s="6">
        <v>18663.32</v>
      </c>
      <c r="P746" s="37">
        <v>808790</v>
      </c>
    </row>
    <row r="747" spans="2:16" ht="15" thickBot="1">
      <c r="B747" s="9">
        <f t="shared" si="71"/>
        <v>19</v>
      </c>
      <c r="C747" s="15">
        <f t="shared" si="66"/>
        <v>5</v>
      </c>
      <c r="D747" s="25">
        <f t="shared" si="67"/>
        <v>41572</v>
      </c>
      <c r="E747" s="16">
        <f t="shared" si="68"/>
        <v>-4.4264767844919284E-3</v>
      </c>
      <c r="F747" s="17">
        <f t="shared" si="69"/>
        <v>-1.4524148524533875E-2</v>
      </c>
      <c r="G747" s="18">
        <f t="shared" si="70"/>
        <v>-1.0097671740041947E-2</v>
      </c>
      <c r="J747" s="28"/>
      <c r="K747" s="8">
        <v>41572</v>
      </c>
      <c r="L747" s="7">
        <v>18874.75</v>
      </c>
      <c r="M747" s="6">
        <v>19068.150000000001</v>
      </c>
      <c r="N747" s="6">
        <v>19070.88</v>
      </c>
      <c r="O747" s="6">
        <v>18833.990000000002</v>
      </c>
      <c r="P747" s="37">
        <v>913520</v>
      </c>
    </row>
    <row r="748" spans="2:16" ht="15" thickBot="1">
      <c r="B748" s="9">
        <f t="shared" si="71"/>
        <v>18</v>
      </c>
      <c r="C748" s="15">
        <f t="shared" si="66"/>
        <v>4</v>
      </c>
      <c r="D748" s="25">
        <f t="shared" si="67"/>
        <v>41571</v>
      </c>
      <c r="E748" s="16">
        <f t="shared" si="68"/>
        <v>5.6137589975611135E-3</v>
      </c>
      <c r="F748" s="17">
        <f t="shared" si="69"/>
        <v>1.2810221525614063E-2</v>
      </c>
      <c r="G748" s="18">
        <f t="shared" si="70"/>
        <v>7.1964625280529493E-3</v>
      </c>
      <c r="J748" s="28"/>
      <c r="K748" s="8">
        <v>41571</v>
      </c>
      <c r="L748" s="5">
        <v>19152.93</v>
      </c>
      <c r="M748" s="6">
        <v>19016.84</v>
      </c>
      <c r="N748" s="6">
        <v>19152.93</v>
      </c>
      <c r="O748" s="6">
        <v>18810.45</v>
      </c>
      <c r="P748" s="37">
        <v>896110</v>
      </c>
    </row>
    <row r="749" spans="2:16" ht="15" thickBot="1">
      <c r="B749" s="9">
        <f t="shared" si="71"/>
        <v>17</v>
      </c>
      <c r="C749" s="15">
        <f t="shared" si="66"/>
        <v>3</v>
      </c>
      <c r="D749" s="25">
        <f t="shared" si="67"/>
        <v>41570</v>
      </c>
      <c r="E749" s="16">
        <f t="shared" si="68"/>
        <v>-4.5684658162609137E-3</v>
      </c>
      <c r="F749" s="17">
        <f t="shared" si="69"/>
        <v>-2.3810224381360046E-2</v>
      </c>
      <c r="G749" s="18">
        <f t="shared" si="70"/>
        <v>-1.9241758565099132E-2</v>
      </c>
      <c r="J749" s="28"/>
      <c r="K749" s="8">
        <v>41570</v>
      </c>
      <c r="L749" s="7">
        <v>18910.68</v>
      </c>
      <c r="M749" s="6">
        <v>19283.43</v>
      </c>
      <c r="N749" s="6">
        <v>19290.73</v>
      </c>
      <c r="O749" s="6">
        <v>18889.419999999998</v>
      </c>
      <c r="P749" s="37">
        <v>1020000</v>
      </c>
    </row>
    <row r="750" spans="2:16" ht="15" thickBot="1">
      <c r="B750" s="9">
        <f t="shared" si="71"/>
        <v>16</v>
      </c>
      <c r="C750" s="15">
        <f t="shared" si="66"/>
        <v>2</v>
      </c>
      <c r="D750" s="25">
        <f t="shared" si="67"/>
        <v>41569</v>
      </c>
      <c r="E750" s="16">
        <f t="shared" si="68"/>
        <v>-9.7961395838275234E-4</v>
      </c>
      <c r="F750" s="17">
        <f t="shared" si="69"/>
        <v>5.6710667097898959E-3</v>
      </c>
      <c r="G750" s="18">
        <f t="shared" si="70"/>
        <v>6.6506806681726482E-3</v>
      </c>
      <c r="J750" s="28"/>
      <c r="K750" s="8">
        <v>41569</v>
      </c>
      <c r="L750" s="5">
        <v>19371.93</v>
      </c>
      <c r="M750" s="6">
        <v>19243.82</v>
      </c>
      <c r="N750" s="6">
        <v>19474.189999999999</v>
      </c>
      <c r="O750" s="6">
        <v>19221.91</v>
      </c>
      <c r="P750" s="37">
        <v>892890</v>
      </c>
    </row>
    <row r="751" spans="2:16" ht="15" thickBot="1">
      <c r="B751" s="9">
        <f t="shared" si="71"/>
        <v>15</v>
      </c>
      <c r="C751" s="15">
        <f t="shared" si="66"/>
        <v>1</v>
      </c>
      <c r="D751" s="25">
        <f t="shared" si="67"/>
        <v>41568</v>
      </c>
      <c r="E751" s="16">
        <f t="shared" si="68"/>
        <v>-1.2344961501778995E-3</v>
      </c>
      <c r="F751" s="17">
        <f t="shared" si="69"/>
        <v>-4.3225527242474193E-4</v>
      </c>
      <c r="G751" s="18">
        <f t="shared" si="70"/>
        <v>8.0224087775315756E-4</v>
      </c>
      <c r="J751" s="28"/>
      <c r="K751" s="8">
        <v>41568</v>
      </c>
      <c r="L751" s="7">
        <v>19262.689999999999</v>
      </c>
      <c r="M751" s="6">
        <v>19247.23</v>
      </c>
      <c r="N751" s="6">
        <v>19333.02</v>
      </c>
      <c r="O751" s="6">
        <v>19155.689999999999</v>
      </c>
      <c r="P751" s="37">
        <v>726100</v>
      </c>
    </row>
    <row r="752" spans="2:16" ht="15" thickBot="1">
      <c r="B752" s="9">
        <f t="shared" si="71"/>
        <v>14</v>
      </c>
      <c r="C752" s="15">
        <f t="shared" si="66"/>
        <v>5</v>
      </c>
      <c r="D752" s="25">
        <f t="shared" si="67"/>
        <v>41565</v>
      </c>
      <c r="E752" s="16">
        <f t="shared" si="68"/>
        <v>4.0816539136685481E-3</v>
      </c>
      <c r="F752" s="17">
        <f t="shared" si="69"/>
        <v>3.7982925393660327E-3</v>
      </c>
      <c r="G752" s="18">
        <f t="shared" si="70"/>
        <v>-2.833613743025154E-4</v>
      </c>
      <c r="J752" s="28"/>
      <c r="K752" s="8">
        <v>41565</v>
      </c>
      <c r="L752" s="5">
        <v>19271.02</v>
      </c>
      <c r="M752" s="6">
        <v>19276.46</v>
      </c>
      <c r="N752" s="6">
        <v>19301.560000000001</v>
      </c>
      <c r="O752" s="6">
        <v>19094.02</v>
      </c>
      <c r="P752" s="37">
        <v>928950</v>
      </c>
    </row>
    <row r="753" spans="2:16" ht="15" thickBot="1">
      <c r="B753" s="9">
        <f t="shared" si="71"/>
        <v>13</v>
      </c>
      <c r="C753" s="15">
        <f t="shared" si="66"/>
        <v>4</v>
      </c>
      <c r="D753" s="25">
        <f t="shared" si="67"/>
        <v>41564</v>
      </c>
      <c r="E753" s="16">
        <f t="shared" si="68"/>
        <v>8.1971295520011367E-5</v>
      </c>
      <c r="F753" s="17">
        <f t="shared" si="69"/>
        <v>-3.9916908084238756E-3</v>
      </c>
      <c r="G753" s="18">
        <f t="shared" si="70"/>
        <v>-4.0736621039438869E-3</v>
      </c>
      <c r="J753" s="28"/>
      <c r="K753" s="8">
        <v>41564</v>
      </c>
      <c r="L753" s="7">
        <v>19198.099999999999</v>
      </c>
      <c r="M753" s="6">
        <v>19276.62</v>
      </c>
      <c r="N753" s="6">
        <v>19277.39</v>
      </c>
      <c r="O753" s="6">
        <v>19068.96</v>
      </c>
      <c r="P753" s="37">
        <v>967870</v>
      </c>
    </row>
    <row r="754" spans="2:16" ht="15" thickBot="1">
      <c r="B754" s="9">
        <f t="shared" si="71"/>
        <v>12</v>
      </c>
      <c r="C754" s="15">
        <f t="shared" si="66"/>
        <v>3</v>
      </c>
      <c r="D754" s="25">
        <f t="shared" si="67"/>
        <v>41563</v>
      </c>
      <c r="E754" s="16">
        <f t="shared" si="68"/>
        <v>6.1265673011834387E-4</v>
      </c>
      <c r="F754" s="17">
        <f t="shared" si="69"/>
        <v>1.4517438084300283E-2</v>
      </c>
      <c r="G754" s="18">
        <f t="shared" si="70"/>
        <v>1.3904781354181939E-2</v>
      </c>
      <c r="J754" s="28"/>
      <c r="K754" s="8">
        <v>41563</v>
      </c>
      <c r="L754" s="5">
        <v>19275.04</v>
      </c>
      <c r="M754" s="6">
        <v>19010.86</v>
      </c>
      <c r="N754" s="6">
        <v>19288.849999999999</v>
      </c>
      <c r="O754" s="6">
        <v>19007.96</v>
      </c>
      <c r="P754" s="37">
        <v>1230000</v>
      </c>
    </row>
    <row r="755" spans="2:16" ht="15" thickBot="1">
      <c r="B755" s="9">
        <f t="shared" si="71"/>
        <v>11</v>
      </c>
      <c r="C755" s="15">
        <f t="shared" si="66"/>
        <v>2</v>
      </c>
      <c r="D755" s="25">
        <f t="shared" si="67"/>
        <v>41562</v>
      </c>
      <c r="E755" s="16">
        <f t="shared" si="68"/>
        <v>3.1568369677661412E-3</v>
      </c>
      <c r="F755" s="17">
        <f t="shared" si="69"/>
        <v>4.3107845733645345E-3</v>
      </c>
      <c r="G755" s="18">
        <f t="shared" si="70"/>
        <v>1.1539476055983933E-3</v>
      </c>
      <c r="J755" s="28"/>
      <c r="K755" s="8">
        <v>41562</v>
      </c>
      <c r="L755" s="5">
        <v>18999.22</v>
      </c>
      <c r="M755" s="6">
        <v>18977.39</v>
      </c>
      <c r="N755" s="6">
        <v>19073.18</v>
      </c>
      <c r="O755" s="6">
        <v>18848.650000000001</v>
      </c>
      <c r="P755" s="37">
        <v>826470</v>
      </c>
    </row>
    <row r="756" spans="2:16" ht="15" thickBot="1">
      <c r="B756" s="9">
        <f t="shared" si="71"/>
        <v>10</v>
      </c>
      <c r="C756" s="15">
        <f t="shared" si="66"/>
        <v>1</v>
      </c>
      <c r="D756" s="25">
        <f t="shared" si="67"/>
        <v>41561</v>
      </c>
      <c r="E756" s="16">
        <f t="shared" si="68"/>
        <v>-1.7862977773752675E-3</v>
      </c>
      <c r="F756" s="17">
        <f t="shared" si="69"/>
        <v>1.8556737064696627E-3</v>
      </c>
      <c r="G756" s="18">
        <f t="shared" si="70"/>
        <v>3.6419714838449302E-3</v>
      </c>
      <c r="J756" s="28"/>
      <c r="K756" s="8">
        <v>41561</v>
      </c>
      <c r="L756" s="5">
        <v>18917.669999999998</v>
      </c>
      <c r="M756" s="6">
        <v>18848.900000000001</v>
      </c>
      <c r="N756" s="6">
        <v>18990.490000000002</v>
      </c>
      <c r="O756" s="6">
        <v>18779.240000000002</v>
      </c>
      <c r="P756" s="37">
        <v>712380</v>
      </c>
    </row>
    <row r="757" spans="2:16" ht="15" thickBot="1">
      <c r="B757" s="9">
        <f t="shared" si="71"/>
        <v>9</v>
      </c>
      <c r="C757" s="15">
        <f t="shared" si="66"/>
        <v>5</v>
      </c>
      <c r="D757" s="25">
        <f t="shared" si="67"/>
        <v>41558</v>
      </c>
      <c r="E757" s="16">
        <f t="shared" si="68"/>
        <v>7.6509851200761148E-3</v>
      </c>
      <c r="F757" s="17">
        <f t="shared" si="69"/>
        <v>2.4335356501823391E-3</v>
      </c>
      <c r="G757" s="18">
        <f t="shared" si="70"/>
        <v>-5.2174494698937757E-3</v>
      </c>
      <c r="J757" s="28"/>
      <c r="K757" s="8">
        <v>41558</v>
      </c>
      <c r="L757" s="5">
        <v>18882.63</v>
      </c>
      <c r="M757" s="6">
        <v>18980.91</v>
      </c>
      <c r="N757" s="6">
        <v>18981.849999999999</v>
      </c>
      <c r="O757" s="6">
        <v>18778.849999999999</v>
      </c>
      <c r="P757" s="37">
        <v>981760</v>
      </c>
    </row>
    <row r="758" spans="2:16" ht="15" thickBot="1">
      <c r="B758" s="9">
        <f t="shared" si="71"/>
        <v>8</v>
      </c>
      <c r="C758" s="15">
        <f t="shared" si="66"/>
        <v>4</v>
      </c>
      <c r="D758" s="25">
        <f t="shared" si="67"/>
        <v>41557</v>
      </c>
      <c r="E758" s="16">
        <f t="shared" si="68"/>
        <v>6.540686313880828E-3</v>
      </c>
      <c r="F758" s="17">
        <f t="shared" si="69"/>
        <v>1.5374440006964418E-2</v>
      </c>
      <c r="G758" s="18">
        <f t="shared" si="70"/>
        <v>8.8337536930835903E-3</v>
      </c>
      <c r="J758" s="28"/>
      <c r="K758" s="8">
        <v>41557</v>
      </c>
      <c r="L758" s="5">
        <v>18836.79</v>
      </c>
      <c r="M758" s="6">
        <v>18672.91</v>
      </c>
      <c r="N758" s="6">
        <v>18935.11</v>
      </c>
      <c r="O758" s="6">
        <v>18635.54</v>
      </c>
      <c r="P758" s="37">
        <v>1400000</v>
      </c>
    </row>
    <row r="759" spans="2:16" ht="15" thickBot="1">
      <c r="B759" s="9">
        <f t="shared" si="71"/>
        <v>7</v>
      </c>
      <c r="C759" s="15">
        <f t="shared" si="66"/>
        <v>3</v>
      </c>
      <c r="D759" s="25">
        <f t="shared" si="67"/>
        <v>41556</v>
      </c>
      <c r="E759" s="16">
        <f t="shared" si="68"/>
        <v>-1.2186526241307893E-3</v>
      </c>
      <c r="F759" s="17">
        <f t="shared" si="69"/>
        <v>9.7328924630226687E-3</v>
      </c>
      <c r="G759" s="18">
        <f t="shared" si="70"/>
        <v>1.0951545087153458E-2</v>
      </c>
      <c r="J759" s="28"/>
      <c r="K759" s="8">
        <v>41556</v>
      </c>
      <c r="L759" s="5">
        <v>18551.57</v>
      </c>
      <c r="M759" s="6">
        <v>18350.36</v>
      </c>
      <c r="N759" s="6">
        <v>18639.490000000002</v>
      </c>
      <c r="O759" s="6">
        <v>18350.36</v>
      </c>
      <c r="P759" s="37">
        <v>1250000</v>
      </c>
    </row>
    <row r="760" spans="2:16" ht="15" thickBot="1">
      <c r="B760" s="9">
        <f t="shared" si="71"/>
        <v>6</v>
      </c>
      <c r="C760" s="15">
        <f t="shared" si="66"/>
        <v>2</v>
      </c>
      <c r="D760" s="25">
        <f t="shared" si="67"/>
        <v>41555</v>
      </c>
      <c r="E760" s="16">
        <f t="shared" si="68"/>
        <v>-6.5994349233844396E-4</v>
      </c>
      <c r="F760" s="17">
        <f t="shared" si="69"/>
        <v>-2.8801974620397131E-3</v>
      </c>
      <c r="G760" s="18">
        <f t="shared" si="70"/>
        <v>-2.2202539697012691E-3</v>
      </c>
      <c r="J760" s="28"/>
      <c r="K760" s="8">
        <v>41555</v>
      </c>
      <c r="L760" s="7">
        <v>18372.75</v>
      </c>
      <c r="M760" s="6">
        <v>18413.66</v>
      </c>
      <c r="N760" s="6">
        <v>18540.68</v>
      </c>
      <c r="O760" s="6">
        <v>18342</v>
      </c>
      <c r="P760" s="37">
        <v>1290000</v>
      </c>
    </row>
    <row r="761" spans="2:16" ht="15" thickBot="1">
      <c r="B761" s="9">
        <f t="shared" si="71"/>
        <v>5</v>
      </c>
      <c r="C761" s="15">
        <f t="shared" si="66"/>
        <v>1</v>
      </c>
      <c r="D761" s="25">
        <f t="shared" si="67"/>
        <v>41554</v>
      </c>
      <c r="E761" s="16">
        <f t="shared" si="68"/>
        <v>-3.086173570903461E-3</v>
      </c>
      <c r="F761" s="17">
        <f t="shared" si="69"/>
        <v>6.6432767962796291E-3</v>
      </c>
      <c r="G761" s="18">
        <f t="shared" si="70"/>
        <v>9.7294503671830901E-3</v>
      </c>
      <c r="J761" s="28"/>
      <c r="K761" s="8">
        <v>41554</v>
      </c>
      <c r="L761" s="5">
        <v>18425.82</v>
      </c>
      <c r="M761" s="6">
        <v>18247.73</v>
      </c>
      <c r="N761" s="6">
        <v>18448.5</v>
      </c>
      <c r="O761" s="6">
        <v>18194.650000000001</v>
      </c>
      <c r="P761" s="37">
        <v>1080000</v>
      </c>
    </row>
    <row r="762" spans="2:16" ht="15" thickBot="1">
      <c r="B762" s="9">
        <f t="shared" si="71"/>
        <v>4</v>
      </c>
      <c r="C762" s="15">
        <f t="shared" si="66"/>
        <v>5</v>
      </c>
      <c r="D762" s="25">
        <f t="shared" si="67"/>
        <v>41551</v>
      </c>
      <c r="E762" s="16">
        <f t="shared" si="68"/>
        <v>2.6328904852976898E-3</v>
      </c>
      <c r="F762" s="17">
        <f t="shared" si="69"/>
        <v>1.5872822065664538E-2</v>
      </c>
      <c r="G762" s="18">
        <f t="shared" si="70"/>
        <v>1.3239931580366848E-2</v>
      </c>
      <c r="J762" s="28"/>
      <c r="K762" s="8">
        <v>41551</v>
      </c>
      <c r="L762" s="5">
        <v>18304.22</v>
      </c>
      <c r="M762" s="6">
        <v>18065.66</v>
      </c>
      <c r="N762" s="6">
        <v>18341.150000000001</v>
      </c>
      <c r="O762" s="6">
        <v>18005.57</v>
      </c>
      <c r="P762" s="37">
        <v>1180000</v>
      </c>
    </row>
    <row r="763" spans="2:16" ht="15" thickBot="1">
      <c r="B763" s="9">
        <f t="shared" si="71"/>
        <v>3</v>
      </c>
      <c r="C763" s="15">
        <f t="shared" si="66"/>
        <v>4</v>
      </c>
      <c r="D763" s="25">
        <f t="shared" si="67"/>
        <v>41550</v>
      </c>
      <c r="E763" s="16">
        <f t="shared" si="68"/>
        <v>5.9988595702171743E-3</v>
      </c>
      <c r="F763" s="17">
        <f t="shared" si="69"/>
        <v>-4.4324262201602682E-3</v>
      </c>
      <c r="G763" s="18">
        <f t="shared" si="70"/>
        <v>-1.0431285790377443E-2</v>
      </c>
      <c r="J763" s="28"/>
      <c r="K763" s="8">
        <v>41550</v>
      </c>
      <c r="L763" s="7">
        <v>18018.22</v>
      </c>
      <c r="M763" s="6">
        <v>18207.009999999998</v>
      </c>
      <c r="N763" s="6">
        <v>18230.57</v>
      </c>
      <c r="O763" s="6">
        <v>18011.75</v>
      </c>
      <c r="P763" s="37">
        <v>840790</v>
      </c>
    </row>
    <row r="764" spans="2:16" ht="15" thickBot="1">
      <c r="B764" s="9">
        <f t="shared" si="71"/>
        <v>2</v>
      </c>
      <c r="C764" s="15">
        <f t="shared" ref="C764:C827" si="72">WEEKDAY(D764,2)</f>
        <v>3</v>
      </c>
      <c r="D764" s="25">
        <f t="shared" ref="D764:D827" si="73">K764</f>
        <v>41549</v>
      </c>
      <c r="E764" s="16">
        <f t="shared" ref="E764:E827" si="74">M764/L765-1</f>
        <v>-1.9124372950861668E-3</v>
      </c>
      <c r="F764" s="17">
        <f t="shared" ref="F764:F827" si="75">L764/L765-1</f>
        <v>6.751938303593441E-3</v>
      </c>
      <c r="G764" s="18">
        <f t="shared" ref="G764:G827" si="76">F764-E764</f>
        <v>8.6643755986796078E-3</v>
      </c>
      <c r="J764" s="28"/>
      <c r="K764" s="8">
        <v>41549</v>
      </c>
      <c r="L764" s="5">
        <v>18098.439999999999</v>
      </c>
      <c r="M764" s="6">
        <v>17942.68</v>
      </c>
      <c r="N764" s="6">
        <v>18304.099999999999</v>
      </c>
      <c r="O764" s="6">
        <v>17909.759999999998</v>
      </c>
      <c r="P764" s="37">
        <v>1560000</v>
      </c>
    </row>
    <row r="765" spans="2:16" ht="15" thickBot="1">
      <c r="B765" s="19">
        <v>1</v>
      </c>
      <c r="C765" s="15">
        <f t="shared" si="72"/>
        <v>2</v>
      </c>
      <c r="D765" s="25">
        <f t="shared" si="73"/>
        <v>41548</v>
      </c>
      <c r="E765" s="16">
        <f t="shared" si="74"/>
        <v>2.6481428586175859E-3</v>
      </c>
      <c r="F765" s="17">
        <f t="shared" si="75"/>
        <v>3.109861507347933E-2</v>
      </c>
      <c r="G765" s="18">
        <f t="shared" si="76"/>
        <v>2.8450472214861744E-2</v>
      </c>
      <c r="J765" s="28"/>
      <c r="K765" s="8">
        <v>41548</v>
      </c>
      <c r="L765" s="5">
        <v>17977.060000000001</v>
      </c>
      <c r="M765" s="6">
        <v>17481.03</v>
      </c>
      <c r="N765" s="6">
        <v>17977.060000000001</v>
      </c>
      <c r="O765" s="6">
        <v>17474.96</v>
      </c>
      <c r="P765" s="37">
        <v>1040000</v>
      </c>
    </row>
    <row r="766" spans="2:16" ht="15" thickBot="1">
      <c r="B766" s="9">
        <f t="shared" si="71"/>
        <v>21</v>
      </c>
      <c r="C766" s="15">
        <f t="shared" si="72"/>
        <v>1</v>
      </c>
      <c r="D766" s="25">
        <f t="shared" si="73"/>
        <v>41547</v>
      </c>
      <c r="E766" s="16">
        <f t="shared" si="74"/>
        <v>-1.6633647207097813E-2</v>
      </c>
      <c r="F766" s="17">
        <f t="shared" si="75"/>
        <v>-1.1974276556485863E-2</v>
      </c>
      <c r="G766" s="18">
        <f t="shared" si="76"/>
        <v>4.6593706506119492E-3</v>
      </c>
      <c r="J766" s="28"/>
      <c r="K766" s="8">
        <v>41547</v>
      </c>
      <c r="L766" s="7">
        <v>17434.86</v>
      </c>
      <c r="M766" s="6">
        <v>17352.64</v>
      </c>
      <c r="N766" s="6">
        <v>17456.830000000002</v>
      </c>
      <c r="O766" s="6">
        <v>17199.82</v>
      </c>
      <c r="P766" s="37">
        <v>1090000</v>
      </c>
    </row>
    <row r="767" spans="2:16" ht="15" thickBot="1">
      <c r="B767" s="9">
        <f t="shared" si="71"/>
        <v>20</v>
      </c>
      <c r="C767" s="15">
        <f t="shared" si="72"/>
        <v>5</v>
      </c>
      <c r="D767" s="25">
        <f t="shared" si="73"/>
        <v>41544</v>
      </c>
      <c r="E767" s="16">
        <f t="shared" si="74"/>
        <v>4.3586442434295769E-4</v>
      </c>
      <c r="F767" s="17">
        <f t="shared" si="75"/>
        <v>-1.2665806128175472E-2</v>
      </c>
      <c r="G767" s="18">
        <f t="shared" si="76"/>
        <v>-1.310167055251843E-2</v>
      </c>
      <c r="J767" s="28"/>
      <c r="K767" s="8">
        <v>41544</v>
      </c>
      <c r="L767" s="7">
        <v>17646.16</v>
      </c>
      <c r="M767" s="6">
        <v>17880.32</v>
      </c>
      <c r="N767" s="6">
        <v>17890.22</v>
      </c>
      <c r="O767" s="6">
        <v>17641.060000000001</v>
      </c>
      <c r="P767" s="37">
        <v>734590</v>
      </c>
    </row>
    <row r="768" spans="2:16" ht="15" thickBot="1">
      <c r="B768" s="9">
        <f t="shared" si="71"/>
        <v>19</v>
      </c>
      <c r="C768" s="15">
        <f t="shared" si="72"/>
        <v>4</v>
      </c>
      <c r="D768" s="25">
        <f t="shared" si="73"/>
        <v>41543</v>
      </c>
      <c r="E768" s="16">
        <f t="shared" si="74"/>
        <v>-2.1001435107279587E-3</v>
      </c>
      <c r="F768" s="17">
        <f t="shared" si="75"/>
        <v>-1.1980050018685295E-2</v>
      </c>
      <c r="G768" s="18">
        <f t="shared" si="76"/>
        <v>-9.8799065079573367E-3</v>
      </c>
      <c r="J768" s="28"/>
      <c r="K768" s="8">
        <v>41543</v>
      </c>
      <c r="L768" s="7">
        <v>17872.53</v>
      </c>
      <c r="M768" s="6">
        <v>18051.25</v>
      </c>
      <c r="N768" s="6">
        <v>18068.97</v>
      </c>
      <c r="O768" s="6">
        <v>17691.13</v>
      </c>
      <c r="P768" s="37">
        <v>1250000</v>
      </c>
    </row>
    <row r="769" spans="2:16" ht="15" thickBot="1">
      <c r="B769" s="9">
        <f t="shared" si="71"/>
        <v>18</v>
      </c>
      <c r="C769" s="15">
        <f t="shared" si="72"/>
        <v>3</v>
      </c>
      <c r="D769" s="25">
        <f t="shared" si="73"/>
        <v>41542</v>
      </c>
      <c r="E769" s="16">
        <f t="shared" si="74"/>
        <v>-4.3006812225915292E-3</v>
      </c>
      <c r="F769" s="17">
        <f t="shared" si="75"/>
        <v>1.3651023162453146E-3</v>
      </c>
      <c r="G769" s="18">
        <f t="shared" si="76"/>
        <v>5.6657835388368438E-3</v>
      </c>
      <c r="J769" s="28"/>
      <c r="K769" s="8">
        <v>41542</v>
      </c>
      <c r="L769" s="5">
        <v>18089.240000000002</v>
      </c>
      <c r="M769" s="6">
        <v>17986.89</v>
      </c>
      <c r="N769" s="6">
        <v>18142.98</v>
      </c>
      <c r="O769" s="6">
        <v>17976.97</v>
      </c>
      <c r="P769" s="37">
        <v>951200</v>
      </c>
    </row>
    <row r="770" spans="2:16" ht="15" thickBot="1">
      <c r="B770" s="9">
        <f t="shared" si="71"/>
        <v>17</v>
      </c>
      <c r="C770" s="15">
        <f t="shared" si="72"/>
        <v>2</v>
      </c>
      <c r="D770" s="25">
        <f t="shared" si="73"/>
        <v>41541</v>
      </c>
      <c r="E770" s="16">
        <f t="shared" si="74"/>
        <v>1.4391637888973019E-3</v>
      </c>
      <c r="F770" s="17">
        <f t="shared" si="75"/>
        <v>8.4518773327795227E-3</v>
      </c>
      <c r="G770" s="18">
        <f t="shared" si="76"/>
        <v>7.0127135438822208E-3</v>
      </c>
      <c r="J770" s="28"/>
      <c r="K770" s="8">
        <v>41541</v>
      </c>
      <c r="L770" s="5">
        <v>18064.580000000002</v>
      </c>
      <c r="M770" s="6">
        <v>17938.96</v>
      </c>
      <c r="N770" s="6">
        <v>18085.55</v>
      </c>
      <c r="O770" s="6">
        <v>17906.18</v>
      </c>
      <c r="P770" s="37">
        <v>1150000</v>
      </c>
    </row>
    <row r="771" spans="2:16" ht="15" thickBot="1">
      <c r="B771" s="9">
        <f t="shared" si="71"/>
        <v>16</v>
      </c>
      <c r="C771" s="15">
        <f t="shared" si="72"/>
        <v>1</v>
      </c>
      <c r="D771" s="25">
        <f t="shared" si="73"/>
        <v>41540</v>
      </c>
      <c r="E771" s="16">
        <f t="shared" si="74"/>
        <v>-3.441268060536018E-3</v>
      </c>
      <c r="F771" s="17">
        <f t="shared" si="75"/>
        <v>-3.168593198041969E-3</v>
      </c>
      <c r="G771" s="18">
        <f t="shared" si="76"/>
        <v>2.7267486249404893E-4</v>
      </c>
      <c r="J771" s="28"/>
      <c r="K771" s="8">
        <v>41540</v>
      </c>
      <c r="L771" s="7">
        <v>17913.18</v>
      </c>
      <c r="M771" s="6">
        <v>17908.28</v>
      </c>
      <c r="N771" s="6">
        <v>18027.169999999998</v>
      </c>
      <c r="O771" s="6">
        <v>17856.48</v>
      </c>
      <c r="P771" s="37">
        <v>859090</v>
      </c>
    </row>
    <row r="772" spans="2:16" ht="15" thickBot="1">
      <c r="B772" s="9">
        <f t="shared" si="71"/>
        <v>15</v>
      </c>
      <c r="C772" s="15">
        <f t="shared" si="72"/>
        <v>5</v>
      </c>
      <c r="D772" s="25">
        <f t="shared" si="73"/>
        <v>41537</v>
      </c>
      <c r="E772" s="16">
        <f t="shared" si="74"/>
        <v>1.1733612119675385E-3</v>
      </c>
      <c r="F772" s="17">
        <f t="shared" si="75"/>
        <v>-4.934318905069679E-3</v>
      </c>
      <c r="G772" s="18">
        <f t="shared" si="76"/>
        <v>-6.1076801170372175E-3</v>
      </c>
      <c r="J772" s="28"/>
      <c r="K772" s="8">
        <v>41537</v>
      </c>
      <c r="L772" s="7">
        <v>17970.12</v>
      </c>
      <c r="M772" s="6">
        <v>18080.419999999998</v>
      </c>
      <c r="N772" s="6">
        <v>18086.740000000002</v>
      </c>
      <c r="O772" s="6">
        <v>17953.66</v>
      </c>
      <c r="P772" s="37">
        <v>897080</v>
      </c>
    </row>
    <row r="773" spans="2:16" ht="15" thickBot="1">
      <c r="B773" s="9">
        <f t="shared" si="71"/>
        <v>14</v>
      </c>
      <c r="C773" s="15">
        <f t="shared" si="72"/>
        <v>4</v>
      </c>
      <c r="D773" s="25">
        <f t="shared" si="73"/>
        <v>41536</v>
      </c>
      <c r="E773" s="16">
        <f t="shared" si="74"/>
        <v>1.5800322386785526E-2</v>
      </c>
      <c r="F773" s="17">
        <f t="shared" si="75"/>
        <v>1.4295663504580114E-2</v>
      </c>
      <c r="G773" s="18">
        <f t="shared" si="76"/>
        <v>-1.5046588822054119E-3</v>
      </c>
      <c r="J773" s="28"/>
      <c r="K773" s="8">
        <v>41536</v>
      </c>
      <c r="L773" s="5">
        <v>18059.23</v>
      </c>
      <c r="M773" s="6">
        <v>18086.02</v>
      </c>
      <c r="N773" s="6">
        <v>18094.82</v>
      </c>
      <c r="O773" s="6">
        <v>17957.25</v>
      </c>
      <c r="P773" s="37">
        <v>946420</v>
      </c>
    </row>
    <row r="774" spans="2:16" ht="15" thickBot="1">
      <c r="B774" s="9">
        <f t="shared" ref="B774:B837" si="77">B775+1</f>
        <v>13</v>
      </c>
      <c r="C774" s="15">
        <f t="shared" si="72"/>
        <v>3</v>
      </c>
      <c r="D774" s="25">
        <f t="shared" si="73"/>
        <v>41535</v>
      </c>
      <c r="E774" s="16">
        <f t="shared" si="74"/>
        <v>-1.9378480310294766E-4</v>
      </c>
      <c r="F774" s="17">
        <f t="shared" si="75"/>
        <v>2.9884545943617002E-3</v>
      </c>
      <c r="G774" s="18">
        <f t="shared" si="76"/>
        <v>3.1822393974646479E-3</v>
      </c>
      <c r="J774" s="28"/>
      <c r="K774" s="8">
        <v>41535</v>
      </c>
      <c r="L774" s="5">
        <v>17804.7</v>
      </c>
      <c r="M774" s="6">
        <v>17748.21</v>
      </c>
      <c r="N774" s="6">
        <v>17879.150000000001</v>
      </c>
      <c r="O774" s="6">
        <v>17728.57</v>
      </c>
      <c r="P774" s="37">
        <v>672750</v>
      </c>
    </row>
    <row r="775" spans="2:16" ht="15" thickBot="1">
      <c r="B775" s="9">
        <f t="shared" si="77"/>
        <v>12</v>
      </c>
      <c r="C775" s="15">
        <f t="shared" si="72"/>
        <v>2</v>
      </c>
      <c r="D775" s="25">
        <f t="shared" si="73"/>
        <v>41534</v>
      </c>
      <c r="E775" s="16">
        <f t="shared" si="74"/>
        <v>-2.5316084483198997E-3</v>
      </c>
      <c r="F775" s="17">
        <f t="shared" si="75"/>
        <v>1.1188931079229025E-3</v>
      </c>
      <c r="G775" s="18">
        <f t="shared" si="76"/>
        <v>3.6505015562428023E-3</v>
      </c>
      <c r="J775" s="28"/>
      <c r="K775" s="8">
        <v>41534</v>
      </c>
      <c r="L775" s="5">
        <v>17751.650000000001</v>
      </c>
      <c r="M775" s="6">
        <v>17686.919999999998</v>
      </c>
      <c r="N775" s="6">
        <v>17782.37</v>
      </c>
      <c r="O775" s="6">
        <v>17598.82</v>
      </c>
      <c r="P775" s="37">
        <v>622720</v>
      </c>
    </row>
    <row r="776" spans="2:16" ht="15" thickBot="1">
      <c r="B776" s="9">
        <f t="shared" si="77"/>
        <v>11</v>
      </c>
      <c r="C776" s="15">
        <f t="shared" si="72"/>
        <v>1</v>
      </c>
      <c r="D776" s="25">
        <f t="shared" si="73"/>
        <v>41533</v>
      </c>
      <c r="E776" s="16">
        <f t="shared" si="74"/>
        <v>6.7261571321028946E-3</v>
      </c>
      <c r="F776" s="17">
        <f t="shared" si="75"/>
        <v>1.0479880509986828E-2</v>
      </c>
      <c r="G776" s="18">
        <f t="shared" si="76"/>
        <v>3.753723377883933E-3</v>
      </c>
      <c r="J776" s="28"/>
      <c r="K776" s="8">
        <v>41533</v>
      </c>
      <c r="L776" s="5">
        <v>17731.810000000001</v>
      </c>
      <c r="M776" s="6">
        <v>17665.939999999999</v>
      </c>
      <c r="N776" s="6">
        <v>17757.849999999999</v>
      </c>
      <c r="O776" s="6">
        <v>17637.099999999999</v>
      </c>
      <c r="P776" s="37">
        <v>590990</v>
      </c>
    </row>
    <row r="777" spans="2:16" ht="15" thickBot="1">
      <c r="B777" s="9">
        <f t="shared" si="77"/>
        <v>10</v>
      </c>
      <c r="C777" s="15">
        <f t="shared" si="72"/>
        <v>5</v>
      </c>
      <c r="D777" s="25">
        <f t="shared" si="73"/>
        <v>41530</v>
      </c>
      <c r="E777" s="16">
        <f t="shared" si="74"/>
        <v>-2.7318833673557474E-3</v>
      </c>
      <c r="F777" s="17">
        <f t="shared" si="75"/>
        <v>1.4381337133355654E-3</v>
      </c>
      <c r="G777" s="18">
        <f t="shared" si="76"/>
        <v>4.1700170806913128E-3</v>
      </c>
      <c r="J777" s="28"/>
      <c r="K777" s="8">
        <v>41530</v>
      </c>
      <c r="L777" s="5">
        <v>17547.91</v>
      </c>
      <c r="M777" s="6">
        <v>17474.84</v>
      </c>
      <c r="N777" s="6">
        <v>17556.62</v>
      </c>
      <c r="O777" s="6">
        <v>17423.310000000001</v>
      </c>
      <c r="P777" s="37">
        <v>552290</v>
      </c>
    </row>
    <row r="778" spans="2:16" ht="15" thickBot="1">
      <c r="B778" s="9">
        <f t="shared" si="77"/>
        <v>9</v>
      </c>
      <c r="C778" s="15">
        <f t="shared" si="72"/>
        <v>4</v>
      </c>
      <c r="D778" s="25">
        <f t="shared" si="73"/>
        <v>41529</v>
      </c>
      <c r="E778" s="16">
        <f t="shared" si="74"/>
        <v>-1.016936606586194E-3</v>
      </c>
      <c r="F778" s="17">
        <f t="shared" si="75"/>
        <v>-2.2684632926311954E-3</v>
      </c>
      <c r="G778" s="18">
        <f t="shared" si="76"/>
        <v>-1.2515266860450014E-3</v>
      </c>
      <c r="J778" s="28"/>
      <c r="K778" s="8">
        <v>41529</v>
      </c>
      <c r="L778" s="7">
        <v>17522.71</v>
      </c>
      <c r="M778" s="6">
        <v>17544.689999999999</v>
      </c>
      <c r="N778" s="6">
        <v>17630.39</v>
      </c>
      <c r="O778" s="6">
        <v>17381.89</v>
      </c>
      <c r="P778" s="37">
        <v>827710</v>
      </c>
    </row>
    <row r="779" spans="2:16" ht="15" thickBot="1">
      <c r="B779" s="9">
        <f t="shared" si="77"/>
        <v>8</v>
      </c>
      <c r="C779" s="15">
        <f t="shared" si="72"/>
        <v>3</v>
      </c>
      <c r="D779" s="25">
        <f t="shared" si="73"/>
        <v>41528</v>
      </c>
      <c r="E779" s="16">
        <f t="shared" si="74"/>
        <v>7.304231030638153E-4</v>
      </c>
      <c r="F779" s="17">
        <f t="shared" si="75"/>
        <v>1.3277430387678146E-2</v>
      </c>
      <c r="G779" s="18">
        <f t="shared" si="76"/>
        <v>1.2547007284614331E-2</v>
      </c>
      <c r="J779" s="28"/>
      <c r="K779" s="8">
        <v>41528</v>
      </c>
      <c r="L779" s="5">
        <v>17562.55</v>
      </c>
      <c r="M779" s="6">
        <v>17345.080000000002</v>
      </c>
      <c r="N779" s="6">
        <v>17595.150000000001</v>
      </c>
      <c r="O779" s="6">
        <v>17344.189999999999</v>
      </c>
      <c r="P779" s="37">
        <v>1090000</v>
      </c>
    </row>
    <row r="780" spans="2:16" ht="15" thickBot="1">
      <c r="B780" s="9">
        <f t="shared" si="77"/>
        <v>7</v>
      </c>
      <c r="C780" s="15">
        <f t="shared" si="72"/>
        <v>2</v>
      </c>
      <c r="D780" s="25">
        <f t="shared" si="73"/>
        <v>41527</v>
      </c>
      <c r="E780" s="16">
        <f t="shared" si="74"/>
        <v>3.7356318506396313E-3</v>
      </c>
      <c r="F780" s="17">
        <f t="shared" si="75"/>
        <v>5.0844489392125602E-3</v>
      </c>
      <c r="G780" s="18">
        <f t="shared" si="76"/>
        <v>1.3488170885729289E-3</v>
      </c>
      <c r="J780" s="28"/>
      <c r="K780" s="8">
        <v>41527</v>
      </c>
      <c r="L780" s="5">
        <v>17332.419999999998</v>
      </c>
      <c r="M780" s="6">
        <v>17309.16</v>
      </c>
      <c r="N780" s="6">
        <v>17392.43</v>
      </c>
      <c r="O780" s="6">
        <v>17143.080000000002</v>
      </c>
      <c r="P780" s="37">
        <v>1080000</v>
      </c>
    </row>
    <row r="781" spans="2:16" ht="15" thickBot="1">
      <c r="B781" s="9">
        <f t="shared" si="77"/>
        <v>6</v>
      </c>
      <c r="C781" s="15">
        <f t="shared" si="72"/>
        <v>1</v>
      </c>
      <c r="D781" s="25">
        <f t="shared" si="73"/>
        <v>41526</v>
      </c>
      <c r="E781" s="16">
        <f t="shared" si="74"/>
        <v>8.6818795095977563E-5</v>
      </c>
      <c r="F781" s="17">
        <f t="shared" si="75"/>
        <v>1.1599694960990226E-2</v>
      </c>
      <c r="G781" s="18">
        <f t="shared" si="76"/>
        <v>1.1512876165894248E-2</v>
      </c>
      <c r="J781" s="28"/>
      <c r="K781" s="8">
        <v>41526</v>
      </c>
      <c r="L781" s="5">
        <v>17244.740000000002</v>
      </c>
      <c r="M781" s="6">
        <v>17048.48</v>
      </c>
      <c r="N781" s="6">
        <v>17244.740000000002</v>
      </c>
      <c r="O781" s="6">
        <v>17011.3</v>
      </c>
      <c r="P781" s="37">
        <v>790780</v>
      </c>
    </row>
    <row r="782" spans="2:16" ht="15" thickBot="1">
      <c r="B782" s="9">
        <f t="shared" si="77"/>
        <v>5</v>
      </c>
      <c r="C782" s="15">
        <f t="shared" si="72"/>
        <v>5</v>
      </c>
      <c r="D782" s="25">
        <f t="shared" si="73"/>
        <v>41523</v>
      </c>
      <c r="E782" s="16">
        <f t="shared" si="74"/>
        <v>1.267017758435518E-3</v>
      </c>
      <c r="F782" s="17">
        <f t="shared" si="75"/>
        <v>1.2129884163465388E-2</v>
      </c>
      <c r="G782" s="18">
        <f t="shared" si="76"/>
        <v>1.086286640502987E-2</v>
      </c>
      <c r="J782" s="28"/>
      <c r="K782" s="8">
        <v>41523</v>
      </c>
      <c r="L782" s="5">
        <v>17047</v>
      </c>
      <c r="M782" s="6">
        <v>16864.04</v>
      </c>
      <c r="N782" s="6">
        <v>17091.95</v>
      </c>
      <c r="O782" s="6">
        <v>16767.98</v>
      </c>
      <c r="P782" s="37">
        <v>956990</v>
      </c>
    </row>
    <row r="783" spans="2:16" ht="15" thickBot="1">
      <c r="B783" s="9">
        <f t="shared" si="77"/>
        <v>4</v>
      </c>
      <c r="C783" s="15">
        <f t="shared" si="72"/>
        <v>4</v>
      </c>
      <c r="D783" s="25">
        <f t="shared" si="73"/>
        <v>41522</v>
      </c>
      <c r="E783" s="16">
        <f t="shared" si="74"/>
        <v>3.7906439606993914E-3</v>
      </c>
      <c r="F783" s="17">
        <f t="shared" si="75"/>
        <v>7.8086667225141237E-3</v>
      </c>
      <c r="G783" s="18">
        <f t="shared" si="76"/>
        <v>4.0180227618147324E-3</v>
      </c>
      <c r="J783" s="28"/>
      <c r="K783" s="8">
        <v>41522</v>
      </c>
      <c r="L783" s="5">
        <v>16842.7</v>
      </c>
      <c r="M783" s="6">
        <v>16775.55</v>
      </c>
      <c r="N783" s="6">
        <v>16877.88</v>
      </c>
      <c r="O783" s="6">
        <v>16645.7</v>
      </c>
      <c r="P783" s="37">
        <v>1040000</v>
      </c>
    </row>
    <row r="784" spans="2:16" ht="15" thickBot="1">
      <c r="B784" s="9">
        <f t="shared" si="77"/>
        <v>3</v>
      </c>
      <c r="C784" s="15">
        <f t="shared" si="72"/>
        <v>3</v>
      </c>
      <c r="D784" s="25">
        <f t="shared" si="73"/>
        <v>41521</v>
      </c>
      <c r="E784" s="16">
        <f t="shared" si="74"/>
        <v>1.1280305860978945E-3</v>
      </c>
      <c r="F784" s="17">
        <f t="shared" si="75"/>
        <v>-1.3507443171991151E-2</v>
      </c>
      <c r="G784" s="18">
        <f t="shared" si="76"/>
        <v>-1.4635473758089046E-2</v>
      </c>
      <c r="J784" s="28"/>
      <c r="K784" s="8">
        <v>41521</v>
      </c>
      <c r="L784" s="7">
        <v>16712.2</v>
      </c>
      <c r="M784" s="6">
        <v>16960.14</v>
      </c>
      <c r="N784" s="6">
        <v>16983.23</v>
      </c>
      <c r="O784" s="6">
        <v>16577.87</v>
      </c>
      <c r="P784" s="37">
        <v>725820</v>
      </c>
    </row>
    <row r="785" spans="2:16" ht="15" thickBot="1">
      <c r="B785" s="9">
        <f t="shared" si="77"/>
        <v>2</v>
      </c>
      <c r="C785" s="15">
        <f t="shared" si="72"/>
        <v>2</v>
      </c>
      <c r="D785" s="25">
        <f t="shared" si="73"/>
        <v>41520</v>
      </c>
      <c r="E785" s="16">
        <f t="shared" si="74"/>
        <v>2.9614028726374642E-3</v>
      </c>
      <c r="F785" s="17">
        <f t="shared" si="75"/>
        <v>-2.7983520684790042E-3</v>
      </c>
      <c r="G785" s="18">
        <f t="shared" si="76"/>
        <v>-5.7597549411164684E-3</v>
      </c>
      <c r="J785" s="28"/>
      <c r="K785" s="8">
        <v>41520</v>
      </c>
      <c r="L785" s="7">
        <v>16941.03</v>
      </c>
      <c r="M785" s="6">
        <v>17038.88</v>
      </c>
      <c r="N785" s="6">
        <v>17074.53</v>
      </c>
      <c r="O785" s="6">
        <v>16829.490000000002</v>
      </c>
      <c r="P785" s="37">
        <v>653890</v>
      </c>
    </row>
    <row r="786" spans="2:16" ht="15" thickBot="1">
      <c r="B786" s="19">
        <v>1</v>
      </c>
      <c r="C786" s="15">
        <f t="shared" si="72"/>
        <v>1</v>
      </c>
      <c r="D786" s="25">
        <f t="shared" si="73"/>
        <v>41519</v>
      </c>
      <c r="E786" s="16">
        <f t="shared" si="74"/>
        <v>7.4912136941089891E-3</v>
      </c>
      <c r="F786" s="17">
        <f t="shared" si="75"/>
        <v>1.8364473292207695E-2</v>
      </c>
      <c r="G786" s="18">
        <f t="shared" si="76"/>
        <v>1.0873259598098706E-2</v>
      </c>
      <c r="J786" s="28"/>
      <c r="K786" s="8">
        <v>41519</v>
      </c>
      <c r="L786" s="5">
        <v>16988.57</v>
      </c>
      <c r="M786" s="6">
        <v>16807.18</v>
      </c>
      <c r="N786" s="6">
        <v>16989.650000000001</v>
      </c>
      <c r="O786" s="6">
        <v>16800.669999999998</v>
      </c>
      <c r="P786" s="37">
        <v>626150</v>
      </c>
    </row>
    <row r="787" spans="2:16" ht="15" thickBot="1">
      <c r="B787" s="9">
        <f t="shared" si="77"/>
        <v>21</v>
      </c>
      <c r="C787" s="15">
        <f t="shared" si="72"/>
        <v>5</v>
      </c>
      <c r="D787" s="25">
        <f t="shared" si="73"/>
        <v>41516</v>
      </c>
      <c r="E787" s="16">
        <f t="shared" si="74"/>
        <v>-1.3623067526761234E-3</v>
      </c>
      <c r="F787" s="17">
        <f t="shared" si="75"/>
        <v>-1.318769724019031E-2</v>
      </c>
      <c r="G787" s="18">
        <f t="shared" si="76"/>
        <v>-1.1825390487514187E-2</v>
      </c>
      <c r="J787" s="28"/>
      <c r="K787" s="8">
        <v>41516</v>
      </c>
      <c r="L787" s="7">
        <v>16682.21</v>
      </c>
      <c r="M787" s="6">
        <v>16882.12</v>
      </c>
      <c r="N787" s="6">
        <v>16886.75</v>
      </c>
      <c r="O787" s="6">
        <v>16682.21</v>
      </c>
      <c r="P787" s="37">
        <v>761270</v>
      </c>
    </row>
    <row r="788" spans="2:16" ht="15" thickBot="1">
      <c r="B788" s="9">
        <f t="shared" si="77"/>
        <v>20</v>
      </c>
      <c r="C788" s="15">
        <f t="shared" si="72"/>
        <v>4</v>
      </c>
      <c r="D788" s="25">
        <f t="shared" si="73"/>
        <v>41515</v>
      </c>
      <c r="E788" s="16">
        <f t="shared" si="74"/>
        <v>4.9518935871455394E-3</v>
      </c>
      <c r="F788" s="17">
        <f t="shared" si="75"/>
        <v>9.6792169187409627E-3</v>
      </c>
      <c r="G788" s="18">
        <f t="shared" si="76"/>
        <v>4.7273233315954233E-3</v>
      </c>
      <c r="J788" s="28"/>
      <c r="K788" s="8">
        <v>41515</v>
      </c>
      <c r="L788" s="5">
        <v>16905.150000000001</v>
      </c>
      <c r="M788" s="6">
        <v>16826</v>
      </c>
      <c r="N788" s="6">
        <v>16925.689999999999</v>
      </c>
      <c r="O788" s="6">
        <v>16742.05</v>
      </c>
      <c r="P788" s="37">
        <v>618360</v>
      </c>
    </row>
    <row r="789" spans="2:16" ht="15" thickBot="1">
      <c r="B789" s="9">
        <f t="shared" si="77"/>
        <v>19</v>
      </c>
      <c r="C789" s="15">
        <f t="shared" si="72"/>
        <v>3</v>
      </c>
      <c r="D789" s="25">
        <f t="shared" si="73"/>
        <v>41514</v>
      </c>
      <c r="E789" s="16">
        <f t="shared" si="74"/>
        <v>3.9988419643188777E-4</v>
      </c>
      <c r="F789" s="17">
        <f t="shared" si="75"/>
        <v>9.8487315890420923E-3</v>
      </c>
      <c r="G789" s="18">
        <f t="shared" si="76"/>
        <v>9.4488473926102046E-3</v>
      </c>
      <c r="J789" s="28"/>
      <c r="K789" s="8">
        <v>41514</v>
      </c>
      <c r="L789" s="5">
        <v>16743.09</v>
      </c>
      <c r="M789" s="6">
        <v>16586.43</v>
      </c>
      <c r="N789" s="6">
        <v>16780.04</v>
      </c>
      <c r="O789" s="6">
        <v>16503.98</v>
      </c>
      <c r="P789" s="37">
        <v>682490</v>
      </c>
    </row>
    <row r="790" spans="2:16" ht="15" thickBot="1">
      <c r="B790" s="9">
        <f t="shared" si="77"/>
        <v>18</v>
      </c>
      <c r="C790" s="15">
        <f t="shared" si="72"/>
        <v>2</v>
      </c>
      <c r="D790" s="25">
        <f t="shared" si="73"/>
        <v>41513</v>
      </c>
      <c r="E790" s="16">
        <f t="shared" si="74"/>
        <v>-4.2997427222436491E-3</v>
      </c>
      <c r="F790" s="17">
        <f t="shared" si="75"/>
        <v>-2.3440076900604012E-2</v>
      </c>
      <c r="G790" s="18">
        <f t="shared" si="76"/>
        <v>-1.9140334178360363E-2</v>
      </c>
      <c r="J790" s="28"/>
      <c r="K790" s="8">
        <v>41513</v>
      </c>
      <c r="L790" s="7">
        <v>16579.8</v>
      </c>
      <c r="M790" s="6">
        <v>16904.759999999998</v>
      </c>
      <c r="N790" s="6">
        <v>17064.509999999998</v>
      </c>
      <c r="O790" s="6">
        <v>16532.060000000001</v>
      </c>
      <c r="P790" s="37">
        <v>734460</v>
      </c>
    </row>
    <row r="791" spans="2:16" ht="15" thickBot="1">
      <c r="B791" s="9">
        <f t="shared" si="77"/>
        <v>17</v>
      </c>
      <c r="C791" s="15">
        <f t="shared" si="72"/>
        <v>1</v>
      </c>
      <c r="D791" s="25">
        <f t="shared" si="73"/>
        <v>41512</v>
      </c>
      <c r="E791" s="16">
        <f t="shared" si="74"/>
        <v>-2.2961265118424112E-3</v>
      </c>
      <c r="F791" s="17">
        <f t="shared" si="75"/>
        <v>-2.1017457365682168E-2</v>
      </c>
      <c r="G791" s="18">
        <f t="shared" si="76"/>
        <v>-1.8721330853839757E-2</v>
      </c>
      <c r="J791" s="28"/>
      <c r="K791" s="8">
        <v>41512</v>
      </c>
      <c r="L791" s="7">
        <v>16977.759999999998</v>
      </c>
      <c r="M791" s="6">
        <v>17302.43</v>
      </c>
      <c r="N791" s="6">
        <v>17302.43</v>
      </c>
      <c r="O791" s="6">
        <v>16905.990000000002</v>
      </c>
      <c r="P791" s="37">
        <v>559410</v>
      </c>
    </row>
    <row r="792" spans="2:16" ht="15" thickBot="1">
      <c r="B792" s="9">
        <f t="shared" si="77"/>
        <v>16</v>
      </c>
      <c r="C792" s="15">
        <f t="shared" si="72"/>
        <v>5</v>
      </c>
      <c r="D792" s="25">
        <f t="shared" si="73"/>
        <v>41509</v>
      </c>
      <c r="E792" s="16">
        <f t="shared" si="74"/>
        <v>8.5038336576204188E-4</v>
      </c>
      <c r="F792" s="17">
        <f t="shared" si="75"/>
        <v>1.8723454405125128E-3</v>
      </c>
      <c r="G792" s="18">
        <f t="shared" si="76"/>
        <v>1.021962074750471E-3</v>
      </c>
      <c r="J792" s="28"/>
      <c r="K792" s="8">
        <v>41509</v>
      </c>
      <c r="L792" s="5">
        <v>17342.25</v>
      </c>
      <c r="M792" s="6">
        <v>17324.560000000001</v>
      </c>
      <c r="N792" s="6">
        <v>17370.88</v>
      </c>
      <c r="O792" s="6">
        <v>17183.59</v>
      </c>
      <c r="P792" s="37">
        <v>514650</v>
      </c>
    </row>
    <row r="793" spans="2:16" ht="15" thickBot="1">
      <c r="B793" s="9">
        <f t="shared" si="77"/>
        <v>15</v>
      </c>
      <c r="C793" s="15">
        <f t="shared" si="72"/>
        <v>4</v>
      </c>
      <c r="D793" s="25">
        <f t="shared" si="73"/>
        <v>41508</v>
      </c>
      <c r="E793" s="16">
        <f t="shared" si="74"/>
        <v>1.4948515605883728E-3</v>
      </c>
      <c r="F793" s="17">
        <f t="shared" si="75"/>
        <v>2.5590223445647542E-2</v>
      </c>
      <c r="G793" s="18">
        <f t="shared" si="76"/>
        <v>2.4095371885059169E-2</v>
      </c>
      <c r="J793" s="28"/>
      <c r="K793" s="8">
        <v>41508</v>
      </c>
      <c r="L793" s="5">
        <v>17309.84</v>
      </c>
      <c r="M793" s="6">
        <v>16903.16</v>
      </c>
      <c r="N793" s="6">
        <v>17329.62</v>
      </c>
      <c r="O793" s="6">
        <v>16901.68</v>
      </c>
      <c r="P793" s="37">
        <v>669050</v>
      </c>
    </row>
    <row r="794" spans="2:16" ht="15" thickBot="1">
      <c r="B794" s="9">
        <f t="shared" si="77"/>
        <v>14</v>
      </c>
      <c r="C794" s="15">
        <f t="shared" si="72"/>
        <v>3</v>
      </c>
      <c r="D794" s="25">
        <f t="shared" si="73"/>
        <v>41507</v>
      </c>
      <c r="E794" s="16">
        <f t="shared" si="74"/>
        <v>3.816571615131048E-3</v>
      </c>
      <c r="F794" s="17">
        <f t="shared" si="75"/>
        <v>-7.1543070257741315E-3</v>
      </c>
      <c r="G794" s="18">
        <f t="shared" si="76"/>
        <v>-1.097087864090518E-2</v>
      </c>
      <c r="J794" s="28"/>
      <c r="K794" s="8">
        <v>41507</v>
      </c>
      <c r="L794" s="7">
        <v>16877.93</v>
      </c>
      <c r="M794" s="6">
        <v>17064.43</v>
      </c>
      <c r="N794" s="6">
        <v>17159.84</v>
      </c>
      <c r="O794" s="6">
        <v>16838.11</v>
      </c>
      <c r="P794" s="37">
        <v>612570</v>
      </c>
    </row>
    <row r="795" spans="2:16" ht="15" thickBot="1">
      <c r="B795" s="9">
        <f t="shared" si="77"/>
        <v>13</v>
      </c>
      <c r="C795" s="15">
        <f t="shared" si="72"/>
        <v>2</v>
      </c>
      <c r="D795" s="25">
        <f t="shared" si="73"/>
        <v>41506</v>
      </c>
      <c r="E795" s="16">
        <f t="shared" si="74"/>
        <v>-3.0098734287330453E-3</v>
      </c>
      <c r="F795" s="17">
        <f t="shared" si="75"/>
        <v>-1.4133066562278085E-2</v>
      </c>
      <c r="G795" s="18">
        <f t="shared" si="76"/>
        <v>-1.112319313354504E-2</v>
      </c>
      <c r="J795" s="28"/>
      <c r="K795" s="8">
        <v>41506</v>
      </c>
      <c r="L795" s="7">
        <v>16999.55</v>
      </c>
      <c r="M795" s="6">
        <v>17191.349999999999</v>
      </c>
      <c r="N795" s="6">
        <v>17211.96</v>
      </c>
      <c r="O795" s="6">
        <v>16885.240000000002</v>
      </c>
      <c r="P795" s="37">
        <v>798410</v>
      </c>
    </row>
    <row r="796" spans="2:16" ht="15" thickBot="1">
      <c r="B796" s="9">
        <f t="shared" si="77"/>
        <v>12</v>
      </c>
      <c r="C796" s="15">
        <f t="shared" si="72"/>
        <v>1</v>
      </c>
      <c r="D796" s="25">
        <f t="shared" si="73"/>
        <v>41505</v>
      </c>
      <c r="E796" s="16">
        <f t="shared" si="74"/>
        <v>-9.3450701078245935E-4</v>
      </c>
      <c r="F796" s="17">
        <f t="shared" si="75"/>
        <v>-2.458002338530263E-2</v>
      </c>
      <c r="G796" s="18">
        <f t="shared" si="76"/>
        <v>-2.364551637452017E-2</v>
      </c>
      <c r="J796" s="28"/>
      <c r="K796" s="8">
        <v>41505</v>
      </c>
      <c r="L796" s="7">
        <v>17243.25</v>
      </c>
      <c r="M796" s="6">
        <v>17661.25</v>
      </c>
      <c r="N796" s="6">
        <v>17689.88</v>
      </c>
      <c r="O796" s="6">
        <v>17239.099999999999</v>
      </c>
      <c r="P796" s="37">
        <v>959440</v>
      </c>
    </row>
    <row r="797" spans="2:16" ht="15" thickBot="1">
      <c r="B797" s="9">
        <f t="shared" si="77"/>
        <v>11</v>
      </c>
      <c r="C797" s="15">
        <f t="shared" si="72"/>
        <v>5</v>
      </c>
      <c r="D797" s="25">
        <f t="shared" si="73"/>
        <v>41502</v>
      </c>
      <c r="E797" s="16">
        <f t="shared" si="74"/>
        <v>-6.375597962832158E-3</v>
      </c>
      <c r="F797" s="17">
        <f t="shared" si="75"/>
        <v>1.2271909461240904E-2</v>
      </c>
      <c r="G797" s="18">
        <f t="shared" si="76"/>
        <v>1.8647507424073062E-2</v>
      </c>
      <c r="J797" s="28"/>
      <c r="K797" s="8">
        <v>41502</v>
      </c>
      <c r="L797" s="5">
        <v>17677.77</v>
      </c>
      <c r="M797" s="6">
        <v>17352.12</v>
      </c>
      <c r="N797" s="6">
        <v>17685.47</v>
      </c>
      <c r="O797" s="6">
        <v>17338.3</v>
      </c>
      <c r="P797" s="37">
        <v>884520</v>
      </c>
    </row>
    <row r="798" spans="2:16" ht="15" thickBot="1">
      <c r="B798" s="9">
        <f t="shared" si="77"/>
        <v>10</v>
      </c>
      <c r="C798" s="15">
        <f t="shared" si="72"/>
        <v>3</v>
      </c>
      <c r="D798" s="25">
        <f t="shared" si="73"/>
        <v>41500</v>
      </c>
      <c r="E798" s="16">
        <f t="shared" si="74"/>
        <v>1.9228921402503207E-3</v>
      </c>
      <c r="F798" s="17">
        <f t="shared" si="75"/>
        <v>4.7980244038141606E-3</v>
      </c>
      <c r="G798" s="18">
        <f t="shared" si="76"/>
        <v>2.8751322635638399E-3</v>
      </c>
      <c r="J798" s="28"/>
      <c r="K798" s="8">
        <v>41500</v>
      </c>
      <c r="L798" s="5">
        <v>17463.46</v>
      </c>
      <c r="M798" s="6">
        <v>17413.490000000002</v>
      </c>
      <c r="N798" s="6">
        <v>17463.46</v>
      </c>
      <c r="O798" s="6">
        <v>17285.23</v>
      </c>
      <c r="P798" s="37">
        <v>615560</v>
      </c>
    </row>
    <row r="799" spans="2:16" ht="15" thickBot="1">
      <c r="B799" s="9">
        <f t="shared" si="77"/>
        <v>9</v>
      </c>
      <c r="C799" s="15">
        <f t="shared" si="72"/>
        <v>2</v>
      </c>
      <c r="D799" s="25">
        <f t="shared" si="73"/>
        <v>41499</v>
      </c>
      <c r="E799" s="16">
        <f t="shared" si="74"/>
        <v>4.1395226515188455E-3</v>
      </c>
      <c r="F799" s="17">
        <f t="shared" si="75"/>
        <v>6.7897208226215255E-3</v>
      </c>
      <c r="G799" s="18">
        <f t="shared" si="76"/>
        <v>2.6501981711026801E-3</v>
      </c>
      <c r="J799" s="28"/>
      <c r="K799" s="8">
        <v>41499</v>
      </c>
      <c r="L799" s="5">
        <v>17380.07</v>
      </c>
      <c r="M799" s="6">
        <v>17334.32</v>
      </c>
      <c r="N799" s="6">
        <v>17404.88</v>
      </c>
      <c r="O799" s="6">
        <v>17278.5</v>
      </c>
      <c r="P799" s="37">
        <v>719710</v>
      </c>
    </row>
    <row r="800" spans="2:16" ht="15" thickBot="1">
      <c r="B800" s="9">
        <f t="shared" si="77"/>
        <v>8</v>
      </c>
      <c r="C800" s="15">
        <f t="shared" si="72"/>
        <v>1</v>
      </c>
      <c r="D800" s="25">
        <f t="shared" si="73"/>
        <v>41498</v>
      </c>
      <c r="E800" s="16">
        <f t="shared" si="74"/>
        <v>1.4813901094807846E-3</v>
      </c>
      <c r="F800" s="17">
        <f t="shared" si="75"/>
        <v>4.4395155284129295E-3</v>
      </c>
      <c r="G800" s="18">
        <f t="shared" si="76"/>
        <v>2.9581254189321449E-3</v>
      </c>
      <c r="J800" s="28"/>
      <c r="K800" s="8">
        <v>41498</v>
      </c>
      <c r="L800" s="5">
        <v>17262.86</v>
      </c>
      <c r="M800" s="6">
        <v>17212.02</v>
      </c>
      <c r="N800" s="6">
        <v>17267.34</v>
      </c>
      <c r="O800" s="6">
        <v>17048.89</v>
      </c>
      <c r="P800" s="37">
        <v>436600</v>
      </c>
    </row>
    <row r="801" spans="2:16" ht="15" thickBot="1">
      <c r="B801" s="9">
        <f t="shared" si="77"/>
        <v>7</v>
      </c>
      <c r="C801" s="15">
        <f t="shared" si="72"/>
        <v>5</v>
      </c>
      <c r="D801" s="25">
        <f t="shared" si="73"/>
        <v>41495</v>
      </c>
      <c r="E801" s="16">
        <f t="shared" si="74"/>
        <v>6.2520047823166891E-4</v>
      </c>
      <c r="F801" s="17">
        <f t="shared" si="75"/>
        <v>2.3363368617503877E-3</v>
      </c>
      <c r="G801" s="18">
        <f t="shared" si="76"/>
        <v>1.7111363835187188E-3</v>
      </c>
      <c r="J801" s="28"/>
      <c r="K801" s="8">
        <v>41495</v>
      </c>
      <c r="L801" s="5">
        <v>17186.560000000001</v>
      </c>
      <c r="M801" s="6">
        <v>17157.22</v>
      </c>
      <c r="N801" s="6">
        <v>17222.240000000002</v>
      </c>
      <c r="O801" s="6">
        <v>17043.150000000001</v>
      </c>
      <c r="P801" s="37">
        <v>708790</v>
      </c>
    </row>
    <row r="802" spans="2:16" ht="15" thickBot="1">
      <c r="B802" s="9">
        <f t="shared" si="77"/>
        <v>6</v>
      </c>
      <c r="C802" s="15">
        <f t="shared" si="72"/>
        <v>4</v>
      </c>
      <c r="D802" s="25">
        <f t="shared" si="73"/>
        <v>41494</v>
      </c>
      <c r="E802" s="16">
        <f t="shared" si="74"/>
        <v>1.4538379718960215E-3</v>
      </c>
      <c r="F802" s="17">
        <f t="shared" si="75"/>
        <v>1.8310162790656337E-2</v>
      </c>
      <c r="G802" s="18">
        <f t="shared" si="76"/>
        <v>1.6856324818760315E-2</v>
      </c>
      <c r="J802" s="28"/>
      <c r="K802" s="8">
        <v>41494</v>
      </c>
      <c r="L802" s="5">
        <v>17146.5</v>
      </c>
      <c r="M802" s="6">
        <v>16862.669999999998</v>
      </c>
      <c r="N802" s="6">
        <v>17146.5</v>
      </c>
      <c r="O802" s="6">
        <v>16861.93</v>
      </c>
      <c r="P802" s="37">
        <v>781430</v>
      </c>
    </row>
    <row r="803" spans="2:16" ht="15" thickBot="1">
      <c r="B803" s="9">
        <f t="shared" si="77"/>
        <v>5</v>
      </c>
      <c r="C803" s="15">
        <f t="shared" si="72"/>
        <v>3</v>
      </c>
      <c r="D803" s="25">
        <f t="shared" si="73"/>
        <v>41493</v>
      </c>
      <c r="E803" s="16">
        <f t="shared" si="74"/>
        <v>-2.5241006355505302E-3</v>
      </c>
      <c r="F803" s="17">
        <f t="shared" si="75"/>
        <v>9.2919990625284221E-3</v>
      </c>
      <c r="G803" s="18">
        <f t="shared" si="76"/>
        <v>1.1816099698078952E-2</v>
      </c>
      <c r="J803" s="28"/>
      <c r="K803" s="8">
        <v>41493</v>
      </c>
      <c r="L803" s="5">
        <v>16838.189999999999</v>
      </c>
      <c r="M803" s="6">
        <v>16641.060000000001</v>
      </c>
      <c r="N803" s="6">
        <v>16868.14</v>
      </c>
      <c r="O803" s="6">
        <v>16579.75</v>
      </c>
      <c r="P803" s="37">
        <v>597920</v>
      </c>
    </row>
    <row r="804" spans="2:16" ht="15" thickBot="1">
      <c r="B804" s="9">
        <f t="shared" si="77"/>
        <v>4</v>
      </c>
      <c r="C804" s="15">
        <f t="shared" si="72"/>
        <v>2</v>
      </c>
      <c r="D804" s="25">
        <f t="shared" si="73"/>
        <v>41492</v>
      </c>
      <c r="E804" s="16">
        <f t="shared" si="74"/>
        <v>5.6453210671914E-4</v>
      </c>
      <c r="F804" s="17">
        <f t="shared" si="75"/>
        <v>-4.4201789793547608E-3</v>
      </c>
      <c r="G804" s="18">
        <f t="shared" si="76"/>
        <v>-4.9847110860739008E-3</v>
      </c>
      <c r="J804" s="28"/>
      <c r="K804" s="8">
        <v>41492</v>
      </c>
      <c r="L804" s="7">
        <v>16683.169999999998</v>
      </c>
      <c r="M804" s="6">
        <v>16766.7</v>
      </c>
      <c r="N804" s="6">
        <v>16878.16</v>
      </c>
      <c r="O804" s="6">
        <v>16605.37</v>
      </c>
      <c r="P804" s="37">
        <v>622090</v>
      </c>
    </row>
    <row r="805" spans="2:16" ht="15" thickBot="1">
      <c r="B805" s="9">
        <f t="shared" si="77"/>
        <v>3</v>
      </c>
      <c r="C805" s="15">
        <f t="shared" si="72"/>
        <v>1</v>
      </c>
      <c r="D805" s="25">
        <f t="shared" si="73"/>
        <v>41491</v>
      </c>
      <c r="E805" s="16">
        <f t="shared" si="74"/>
        <v>4.5353798365721509E-4</v>
      </c>
      <c r="F805" s="17">
        <f t="shared" si="75"/>
        <v>-1.3081680343328683E-3</v>
      </c>
      <c r="G805" s="18">
        <f t="shared" si="76"/>
        <v>-1.7617060179900834E-3</v>
      </c>
      <c r="J805" s="28"/>
      <c r="K805" s="8">
        <v>41491</v>
      </c>
      <c r="L805" s="7">
        <v>16757.240000000002</v>
      </c>
      <c r="M805" s="6">
        <v>16786.8</v>
      </c>
      <c r="N805" s="6">
        <v>16844.71</v>
      </c>
      <c r="O805" s="6">
        <v>16675.78</v>
      </c>
      <c r="P805" s="37">
        <v>447960</v>
      </c>
    </row>
    <row r="806" spans="2:16" ht="15" thickBot="1">
      <c r="B806" s="9">
        <f t="shared" si="77"/>
        <v>2</v>
      </c>
      <c r="C806" s="15">
        <f t="shared" si="72"/>
        <v>5</v>
      </c>
      <c r="D806" s="25">
        <f t="shared" si="73"/>
        <v>41488</v>
      </c>
      <c r="E806" s="16">
        <f t="shared" si="74"/>
        <v>8.8055332758174565E-4</v>
      </c>
      <c r="F806" s="17">
        <f t="shared" si="75"/>
        <v>-2.3651864531539779E-3</v>
      </c>
      <c r="G806" s="18">
        <f t="shared" si="76"/>
        <v>-3.2457397807357236E-3</v>
      </c>
      <c r="J806" s="28"/>
      <c r="K806" s="8">
        <v>41488</v>
      </c>
      <c r="L806" s="7">
        <v>16779.189999999999</v>
      </c>
      <c r="M806" s="6">
        <v>16833.78</v>
      </c>
      <c r="N806" s="6">
        <v>16867.32</v>
      </c>
      <c r="O806" s="6">
        <v>16653.13</v>
      </c>
      <c r="P806" s="37">
        <v>714250</v>
      </c>
    </row>
    <row r="807" spans="2:16" ht="15" thickBot="1">
      <c r="B807" s="19">
        <v>1</v>
      </c>
      <c r="C807" s="15">
        <f t="shared" si="72"/>
        <v>4</v>
      </c>
      <c r="D807" s="25">
        <f t="shared" si="73"/>
        <v>41487</v>
      </c>
      <c r="E807" s="16">
        <f t="shared" si="74"/>
        <v>4.9119209336048186E-3</v>
      </c>
      <c r="F807" s="17">
        <f t="shared" si="75"/>
        <v>2.0423058605114175E-2</v>
      </c>
      <c r="G807" s="18">
        <f t="shared" si="76"/>
        <v>1.5511137671509356E-2</v>
      </c>
      <c r="J807" s="28"/>
      <c r="K807" s="8">
        <v>41487</v>
      </c>
      <c r="L807" s="5">
        <v>16818.97</v>
      </c>
      <c r="M807" s="6">
        <v>16563.310000000001</v>
      </c>
      <c r="N807" s="6">
        <v>16818.97</v>
      </c>
      <c r="O807" s="6">
        <v>16562.439999999999</v>
      </c>
      <c r="P807" s="37">
        <v>641940</v>
      </c>
    </row>
    <row r="808" spans="2:16" ht="15" thickBot="1">
      <c r="B808" s="9">
        <f t="shared" si="77"/>
        <v>23</v>
      </c>
      <c r="C808" s="15">
        <f t="shared" si="72"/>
        <v>3</v>
      </c>
      <c r="D808" s="25">
        <f t="shared" si="73"/>
        <v>41486</v>
      </c>
      <c r="E808" s="16">
        <f t="shared" si="74"/>
        <v>-1.7179575527871416E-3</v>
      </c>
      <c r="F808" s="17">
        <f t="shared" si="75"/>
        <v>-3.6601805003960708E-3</v>
      </c>
      <c r="G808" s="18">
        <f t="shared" si="76"/>
        <v>-1.9422229476089292E-3</v>
      </c>
      <c r="J808" s="28"/>
      <c r="K808" s="8">
        <v>41486</v>
      </c>
      <c r="L808" s="7">
        <v>16482.349999999999</v>
      </c>
      <c r="M808" s="6">
        <v>16514.48</v>
      </c>
      <c r="N808" s="6">
        <v>16549.38</v>
      </c>
      <c r="O808" s="6">
        <v>16435.87</v>
      </c>
      <c r="P808" s="37">
        <v>555750</v>
      </c>
    </row>
    <row r="809" spans="2:16" ht="15" thickBot="1">
      <c r="B809" s="9">
        <f t="shared" si="77"/>
        <v>22</v>
      </c>
      <c r="C809" s="15">
        <f t="shared" si="72"/>
        <v>2</v>
      </c>
      <c r="D809" s="25">
        <f t="shared" si="73"/>
        <v>41485</v>
      </c>
      <c r="E809" s="16">
        <f t="shared" si="74"/>
        <v>2.5012733699483203E-3</v>
      </c>
      <c r="F809" s="17">
        <f t="shared" si="75"/>
        <v>1.6416488128628615E-2</v>
      </c>
      <c r="G809" s="18">
        <f t="shared" si="76"/>
        <v>1.3915214758680294E-2</v>
      </c>
      <c r="J809" s="28"/>
      <c r="K809" s="8">
        <v>41485</v>
      </c>
      <c r="L809" s="5">
        <v>16542.900000000001</v>
      </c>
      <c r="M809" s="6">
        <v>16316.42</v>
      </c>
      <c r="N809" s="6">
        <v>16561.95</v>
      </c>
      <c r="O809" s="6">
        <v>16285.5</v>
      </c>
      <c r="P809" s="37">
        <v>490640</v>
      </c>
    </row>
    <row r="810" spans="2:16" ht="15" thickBot="1">
      <c r="B810" s="9">
        <f t="shared" si="77"/>
        <v>21</v>
      </c>
      <c r="C810" s="15">
        <f t="shared" si="72"/>
        <v>1</v>
      </c>
      <c r="D810" s="25">
        <f t="shared" si="73"/>
        <v>41484</v>
      </c>
      <c r="E810" s="16">
        <f t="shared" si="74"/>
        <v>3.3590090070889644E-3</v>
      </c>
      <c r="F810" s="17">
        <f t="shared" si="75"/>
        <v>-8.8785988621021827E-3</v>
      </c>
      <c r="G810" s="18">
        <f t="shared" si="76"/>
        <v>-1.2237607869191147E-2</v>
      </c>
      <c r="J810" s="28"/>
      <c r="K810" s="8">
        <v>41484</v>
      </c>
      <c r="L810" s="7">
        <v>16275.71</v>
      </c>
      <c r="M810" s="6">
        <v>16476.669999999998</v>
      </c>
      <c r="N810" s="6">
        <v>16501.41</v>
      </c>
      <c r="O810" s="6">
        <v>16254.8</v>
      </c>
      <c r="P810" s="37">
        <v>508220</v>
      </c>
    </row>
    <row r="811" spans="2:16" ht="15" thickBot="1">
      <c r="B811" s="9">
        <f t="shared" si="77"/>
        <v>20</v>
      </c>
      <c r="C811" s="15">
        <f t="shared" si="72"/>
        <v>5</v>
      </c>
      <c r="D811" s="25">
        <f t="shared" si="73"/>
        <v>41481</v>
      </c>
      <c r="E811" s="16">
        <f t="shared" si="74"/>
        <v>2.6192842367651625E-3</v>
      </c>
      <c r="F811" s="17">
        <f t="shared" si="75"/>
        <v>-6.3656396646305513E-4</v>
      </c>
      <c r="G811" s="18">
        <f t="shared" si="76"/>
        <v>-3.2558482032282177E-3</v>
      </c>
      <c r="J811" s="28"/>
      <c r="K811" s="8">
        <v>41481</v>
      </c>
      <c r="L811" s="7">
        <v>16421.509999999998</v>
      </c>
      <c r="M811" s="6">
        <v>16475.009999999998</v>
      </c>
      <c r="N811" s="6">
        <v>16538.52</v>
      </c>
      <c r="O811" s="6">
        <v>16367.45</v>
      </c>
      <c r="P811" s="37">
        <v>471590</v>
      </c>
    </row>
    <row r="812" spans="2:16" ht="15" thickBot="1">
      <c r="B812" s="9">
        <f t="shared" si="77"/>
        <v>19</v>
      </c>
      <c r="C812" s="15">
        <f t="shared" si="72"/>
        <v>4</v>
      </c>
      <c r="D812" s="25">
        <f t="shared" si="73"/>
        <v>41480</v>
      </c>
      <c r="E812" s="16">
        <f t="shared" si="74"/>
        <v>-3.4665818469115095E-5</v>
      </c>
      <c r="F812" s="17">
        <f t="shared" si="75"/>
        <v>-6.5317700062816897E-4</v>
      </c>
      <c r="G812" s="18">
        <f t="shared" si="76"/>
        <v>-6.1851118215905387E-4</v>
      </c>
      <c r="J812" s="28"/>
      <c r="K812" s="8">
        <v>41480</v>
      </c>
      <c r="L812" s="7">
        <v>16431.97</v>
      </c>
      <c r="M812" s="6">
        <v>16442.14</v>
      </c>
      <c r="N812" s="6">
        <v>16465.28</v>
      </c>
      <c r="O812" s="6">
        <v>16261.63</v>
      </c>
      <c r="P812" s="37">
        <v>525140</v>
      </c>
    </row>
    <row r="813" spans="2:16" ht="15" thickBot="1">
      <c r="B813" s="9">
        <f t="shared" si="77"/>
        <v>18</v>
      </c>
      <c r="C813" s="15">
        <f t="shared" si="72"/>
        <v>3</v>
      </c>
      <c r="D813" s="25">
        <f t="shared" si="73"/>
        <v>41479</v>
      </c>
      <c r="E813" s="16">
        <f t="shared" si="74"/>
        <v>2.1793777534735437E-3</v>
      </c>
      <c r="F813" s="17">
        <f t="shared" si="75"/>
        <v>1.2570680441269966E-2</v>
      </c>
      <c r="G813" s="18">
        <f t="shared" si="76"/>
        <v>1.0391302687796422E-2</v>
      </c>
      <c r="J813" s="28"/>
      <c r="K813" s="8">
        <v>41479</v>
      </c>
      <c r="L813" s="5">
        <v>16442.71</v>
      </c>
      <c r="M813" s="6">
        <v>16273.97</v>
      </c>
      <c r="N813" s="6">
        <v>16453.93</v>
      </c>
      <c r="O813" s="6">
        <v>16254.33</v>
      </c>
      <c r="P813" s="37">
        <v>552830</v>
      </c>
    </row>
    <row r="814" spans="2:16" ht="15" thickBot="1">
      <c r="B814" s="9">
        <f t="shared" si="77"/>
        <v>17</v>
      </c>
      <c r="C814" s="15">
        <f t="shared" si="72"/>
        <v>2</v>
      </c>
      <c r="D814" s="25">
        <f t="shared" si="73"/>
        <v>41478</v>
      </c>
      <c r="E814" s="16">
        <f t="shared" si="74"/>
        <v>2.1954532434371732E-3</v>
      </c>
      <c r="F814" s="17">
        <f t="shared" si="75"/>
        <v>3.0985212723044775E-4</v>
      </c>
      <c r="G814" s="18">
        <f t="shared" si="76"/>
        <v>-1.8856011162067254E-3</v>
      </c>
      <c r="J814" s="28"/>
      <c r="K814" s="8">
        <v>41478</v>
      </c>
      <c r="L814" s="5">
        <v>16238.58</v>
      </c>
      <c r="M814" s="6">
        <v>16269.19</v>
      </c>
      <c r="N814" s="6">
        <v>16446.759999999998</v>
      </c>
      <c r="O814" s="6">
        <v>16223.95</v>
      </c>
      <c r="P814" s="37">
        <v>685880</v>
      </c>
    </row>
    <row r="815" spans="2:16" ht="15" thickBot="1">
      <c r="B815" s="9">
        <f t="shared" si="77"/>
        <v>16</v>
      </c>
      <c r="C815" s="15">
        <f t="shared" si="72"/>
        <v>1</v>
      </c>
      <c r="D815" s="25">
        <f t="shared" si="73"/>
        <v>41477</v>
      </c>
      <c r="E815" s="16">
        <f t="shared" si="74"/>
        <v>1.6112267401620084E-3</v>
      </c>
      <c r="F815" s="17">
        <f t="shared" si="75"/>
        <v>6.7717416381176676E-3</v>
      </c>
      <c r="G815" s="18">
        <f t="shared" si="76"/>
        <v>5.1605148979556592E-3</v>
      </c>
      <c r="J815" s="28"/>
      <c r="K815" s="8">
        <v>41477</v>
      </c>
      <c r="L815" s="5">
        <v>16233.55</v>
      </c>
      <c r="M815" s="6">
        <v>16150.34</v>
      </c>
      <c r="N815" s="6">
        <v>16266.9</v>
      </c>
      <c r="O815" s="6">
        <v>16122.75</v>
      </c>
      <c r="P815" s="37">
        <v>460810</v>
      </c>
    </row>
    <row r="816" spans="2:16" ht="15" thickBot="1">
      <c r="B816" s="9">
        <f t="shared" si="77"/>
        <v>15</v>
      </c>
      <c r="C816" s="15">
        <f t="shared" si="72"/>
        <v>5</v>
      </c>
      <c r="D816" s="25">
        <f t="shared" si="73"/>
        <v>41474</v>
      </c>
      <c r="E816" s="16">
        <f t="shared" si="74"/>
        <v>-4.2769196461107661E-3</v>
      </c>
      <c r="F816" s="17">
        <f t="shared" si="75"/>
        <v>4.4071084323089593E-3</v>
      </c>
      <c r="G816" s="18">
        <f t="shared" si="76"/>
        <v>8.6840280784197255E-3</v>
      </c>
      <c r="J816" s="28"/>
      <c r="K816" s="8">
        <v>41474</v>
      </c>
      <c r="L816" s="5">
        <v>16124.36</v>
      </c>
      <c r="M816" s="6">
        <v>15984.95</v>
      </c>
      <c r="N816" s="6">
        <v>16163.49</v>
      </c>
      <c r="O816" s="6">
        <v>15974.66</v>
      </c>
      <c r="P816" s="37">
        <v>697100</v>
      </c>
    </row>
    <row r="817" spans="2:16" ht="15" thickBot="1">
      <c r="B817" s="9">
        <f t="shared" si="77"/>
        <v>14</v>
      </c>
      <c r="C817" s="15">
        <f t="shared" si="72"/>
        <v>4</v>
      </c>
      <c r="D817" s="25">
        <f t="shared" si="73"/>
        <v>41473</v>
      </c>
      <c r="E817" s="16">
        <f t="shared" si="74"/>
        <v>-2.2873482879612883E-3</v>
      </c>
      <c r="F817" s="17">
        <f t="shared" si="75"/>
        <v>2.2846722816076248E-2</v>
      </c>
      <c r="G817" s="18">
        <f t="shared" si="76"/>
        <v>2.5134071104037536E-2</v>
      </c>
      <c r="J817" s="28"/>
      <c r="K817" s="8">
        <v>41473</v>
      </c>
      <c r="L817" s="5">
        <v>16053.61</v>
      </c>
      <c r="M817" s="6">
        <v>15659.13</v>
      </c>
      <c r="N817" s="6">
        <v>16110.82</v>
      </c>
      <c r="O817" s="6">
        <v>15632.59</v>
      </c>
      <c r="P817" s="37">
        <v>872940</v>
      </c>
    </row>
    <row r="818" spans="2:16" ht="15" thickBot="1">
      <c r="B818" s="9">
        <f t="shared" si="77"/>
        <v>13</v>
      </c>
      <c r="C818" s="15">
        <f t="shared" si="72"/>
        <v>3</v>
      </c>
      <c r="D818" s="25">
        <f t="shared" si="73"/>
        <v>41472</v>
      </c>
      <c r="E818" s="16">
        <f t="shared" si="74"/>
        <v>2.7797900186414815E-3</v>
      </c>
      <c r="F818" s="17">
        <f t="shared" si="75"/>
        <v>1.062978309653273E-2</v>
      </c>
      <c r="G818" s="18">
        <f t="shared" si="76"/>
        <v>7.8499930778912486E-3</v>
      </c>
      <c r="J818" s="28"/>
      <c r="K818" s="8">
        <v>41472</v>
      </c>
      <c r="L818" s="5">
        <v>15695.03</v>
      </c>
      <c r="M818" s="6">
        <v>15573.12</v>
      </c>
      <c r="N818" s="6">
        <v>15779.37</v>
      </c>
      <c r="O818" s="6">
        <v>15406.8</v>
      </c>
      <c r="P818" s="37">
        <v>654990</v>
      </c>
    </row>
    <row r="819" spans="2:16" ht="15" thickBot="1">
      <c r="B819" s="9">
        <f t="shared" si="77"/>
        <v>12</v>
      </c>
      <c r="C819" s="15">
        <f t="shared" si="72"/>
        <v>2</v>
      </c>
      <c r="D819" s="25">
        <f t="shared" si="73"/>
        <v>41471</v>
      </c>
      <c r="E819" s="16">
        <f t="shared" si="74"/>
        <v>2.8786959827753478E-4</v>
      </c>
      <c r="F819" s="17">
        <f t="shared" si="75"/>
        <v>-4.3206085140158335E-3</v>
      </c>
      <c r="G819" s="18">
        <f t="shared" si="76"/>
        <v>-4.6084781122933682E-3</v>
      </c>
      <c r="J819" s="28"/>
      <c r="K819" s="8">
        <v>41471</v>
      </c>
      <c r="L819" s="7">
        <v>15529.95</v>
      </c>
      <c r="M819" s="6">
        <v>15601.83</v>
      </c>
      <c r="N819" s="6">
        <v>15664.05</v>
      </c>
      <c r="O819" s="6">
        <v>15493.07</v>
      </c>
      <c r="P819" s="37">
        <v>691420</v>
      </c>
    </row>
    <row r="820" spans="2:16" ht="15" thickBot="1">
      <c r="B820" s="9">
        <f t="shared" si="77"/>
        <v>11</v>
      </c>
      <c r="C820" s="15">
        <f t="shared" si="72"/>
        <v>1</v>
      </c>
      <c r="D820" s="25">
        <f t="shared" si="73"/>
        <v>41470</v>
      </c>
      <c r="E820" s="16">
        <f t="shared" si="74"/>
        <v>3.3362345007346139E-3</v>
      </c>
      <c r="F820" s="17">
        <f t="shared" si="75"/>
        <v>1.0807766660596574E-2</v>
      </c>
      <c r="G820" s="18">
        <f t="shared" si="76"/>
        <v>7.47153215986196E-3</v>
      </c>
      <c r="J820" s="28"/>
      <c r="K820" s="8">
        <v>41470</v>
      </c>
      <c r="L820" s="5">
        <v>15597.34</v>
      </c>
      <c r="M820" s="6">
        <v>15482.05</v>
      </c>
      <c r="N820" s="6">
        <v>15597.34</v>
      </c>
      <c r="O820" s="6">
        <v>15439.39</v>
      </c>
      <c r="P820" s="37">
        <v>478680</v>
      </c>
    </row>
    <row r="821" spans="2:16" ht="15" thickBot="1">
      <c r="B821" s="9">
        <f t="shared" si="77"/>
        <v>10</v>
      </c>
      <c r="C821" s="15">
        <f t="shared" si="72"/>
        <v>5</v>
      </c>
      <c r="D821" s="25">
        <f t="shared" si="73"/>
        <v>41467</v>
      </c>
      <c r="E821" s="16">
        <f t="shared" si="74"/>
        <v>1.6055060501489749E-3</v>
      </c>
      <c r="F821" s="17">
        <f t="shared" si="75"/>
        <v>-1.5738041627065824E-2</v>
      </c>
      <c r="G821" s="18">
        <f t="shared" si="76"/>
        <v>-1.7343547677214799E-2</v>
      </c>
      <c r="J821" s="28"/>
      <c r="K821" s="8">
        <v>41467</v>
      </c>
      <c r="L821" s="7">
        <v>15430.57</v>
      </c>
      <c r="M821" s="6">
        <v>15702.47</v>
      </c>
      <c r="N821" s="6">
        <v>15727.13</v>
      </c>
      <c r="O821" s="6">
        <v>15397.69</v>
      </c>
      <c r="P821" s="37">
        <v>697870</v>
      </c>
    </row>
    <row r="822" spans="2:16" ht="15" thickBot="1">
      <c r="B822" s="9">
        <f t="shared" si="77"/>
        <v>9</v>
      </c>
      <c r="C822" s="15">
        <f t="shared" si="72"/>
        <v>4</v>
      </c>
      <c r="D822" s="25">
        <f t="shared" si="73"/>
        <v>41466</v>
      </c>
      <c r="E822" s="16">
        <f t="shared" si="74"/>
        <v>1.4529324639637409E-2</v>
      </c>
      <c r="F822" s="17">
        <f t="shared" si="75"/>
        <v>2.5514662638226326E-6</v>
      </c>
      <c r="G822" s="18">
        <f t="shared" si="76"/>
        <v>-1.4526773173373586E-2</v>
      </c>
      <c r="J822" s="28"/>
      <c r="K822" s="8">
        <v>41466</v>
      </c>
      <c r="L822" s="5">
        <v>15677.3</v>
      </c>
      <c r="M822" s="6">
        <v>15905.04</v>
      </c>
      <c r="N822" s="6">
        <v>15916.17</v>
      </c>
      <c r="O822" s="6">
        <v>15642.15</v>
      </c>
      <c r="P822" s="37">
        <v>549810</v>
      </c>
    </row>
    <row r="823" spans="2:16" ht="15" thickBot="1">
      <c r="B823" s="9">
        <f t="shared" si="77"/>
        <v>8</v>
      </c>
      <c r="C823" s="15">
        <f t="shared" si="72"/>
        <v>3</v>
      </c>
      <c r="D823" s="25">
        <f t="shared" si="73"/>
        <v>41465</v>
      </c>
      <c r="E823" s="16">
        <f t="shared" si="74"/>
        <v>-5.0466893173447547E-3</v>
      </c>
      <c r="F823" s="17">
        <f t="shared" si="75"/>
        <v>-7.1745442685656746E-3</v>
      </c>
      <c r="G823" s="18">
        <f t="shared" si="76"/>
        <v>-2.1278549512209199E-3</v>
      </c>
      <c r="J823" s="28"/>
      <c r="K823" s="8">
        <v>41465</v>
      </c>
      <c r="L823" s="7">
        <v>15677.26</v>
      </c>
      <c r="M823" s="6">
        <v>15710.86</v>
      </c>
      <c r="N823" s="6">
        <v>15783.42</v>
      </c>
      <c r="O823" s="6">
        <v>15570.1</v>
      </c>
      <c r="P823" s="37">
        <v>567220</v>
      </c>
    </row>
    <row r="824" spans="2:16" ht="15" thickBot="1">
      <c r="B824" s="9">
        <f t="shared" si="77"/>
        <v>7</v>
      </c>
      <c r="C824" s="15">
        <f t="shared" si="72"/>
        <v>2</v>
      </c>
      <c r="D824" s="25">
        <f t="shared" si="73"/>
        <v>41464</v>
      </c>
      <c r="E824" s="16">
        <f t="shared" si="74"/>
        <v>4.2456717313454906E-3</v>
      </c>
      <c r="F824" s="17">
        <f t="shared" si="75"/>
        <v>-5.7406443952456865E-4</v>
      </c>
      <c r="G824" s="18">
        <f t="shared" si="76"/>
        <v>-4.8197361708700592E-3</v>
      </c>
      <c r="J824" s="28"/>
      <c r="K824" s="8">
        <v>41464</v>
      </c>
      <c r="L824" s="7">
        <v>15790.55</v>
      </c>
      <c r="M824" s="6">
        <v>15866.7</v>
      </c>
      <c r="N824" s="6">
        <v>15983.69</v>
      </c>
      <c r="O824" s="6">
        <v>15678.23</v>
      </c>
      <c r="P824" s="37">
        <v>672590</v>
      </c>
    </row>
    <row r="825" spans="2:16" ht="15" thickBot="1">
      <c r="B825" s="9">
        <f t="shared" si="77"/>
        <v>6</v>
      </c>
      <c r="C825" s="15">
        <f t="shared" si="72"/>
        <v>1</v>
      </c>
      <c r="D825" s="25">
        <f t="shared" si="73"/>
        <v>41463</v>
      </c>
      <c r="E825" s="16">
        <f t="shared" si="74"/>
        <v>5.780983140515783E-3</v>
      </c>
      <c r="F825" s="17">
        <f t="shared" si="75"/>
        <v>1.7119563992843867E-2</v>
      </c>
      <c r="G825" s="18">
        <f t="shared" si="76"/>
        <v>1.1338580852328084E-2</v>
      </c>
      <c r="J825" s="28"/>
      <c r="K825" s="8">
        <v>41463</v>
      </c>
      <c r="L825" s="5">
        <v>15799.62</v>
      </c>
      <c r="M825" s="6">
        <v>15623.49</v>
      </c>
      <c r="N825" s="6">
        <v>15825.5</v>
      </c>
      <c r="O825" s="6">
        <v>15563.64</v>
      </c>
      <c r="P825" s="37">
        <v>543620</v>
      </c>
    </row>
    <row r="826" spans="2:16" ht="15" thickBot="1">
      <c r="B826" s="9">
        <f t="shared" si="77"/>
        <v>5</v>
      </c>
      <c r="C826" s="15">
        <f t="shared" si="72"/>
        <v>5</v>
      </c>
      <c r="D826" s="25">
        <f t="shared" si="73"/>
        <v>41460</v>
      </c>
      <c r="E826" s="16">
        <f t="shared" si="74"/>
        <v>-1.2392341924892802E-3</v>
      </c>
      <c r="F826" s="17">
        <f t="shared" si="75"/>
        <v>-1.7361930396662451E-2</v>
      </c>
      <c r="G826" s="18">
        <f t="shared" si="76"/>
        <v>-1.612269620417317E-2</v>
      </c>
      <c r="J826" s="28"/>
      <c r="K826" s="8">
        <v>41460</v>
      </c>
      <c r="L826" s="7">
        <v>15533.69</v>
      </c>
      <c r="M826" s="6">
        <v>15788.56</v>
      </c>
      <c r="N826" s="6">
        <v>15902.37</v>
      </c>
      <c r="O826" s="6">
        <v>15533.69</v>
      </c>
      <c r="P826" s="37">
        <v>667860</v>
      </c>
    </row>
    <row r="827" spans="2:16" ht="15" thickBot="1">
      <c r="B827" s="9">
        <f t="shared" si="77"/>
        <v>4</v>
      </c>
      <c r="C827" s="15">
        <f t="shared" si="72"/>
        <v>4</v>
      </c>
      <c r="D827" s="25">
        <f t="shared" si="73"/>
        <v>41459</v>
      </c>
      <c r="E827" s="16">
        <f t="shared" si="74"/>
        <v>6.3182098056575597E-3</v>
      </c>
      <c r="F827" s="17">
        <f t="shared" si="75"/>
        <v>3.4374568551202245E-2</v>
      </c>
      <c r="G827" s="18">
        <f t="shared" si="76"/>
        <v>2.8056358745544685E-2</v>
      </c>
      <c r="J827" s="28"/>
      <c r="K827" s="8">
        <v>41459</v>
      </c>
      <c r="L827" s="5">
        <v>15808.15</v>
      </c>
      <c r="M827" s="6">
        <v>15379.37</v>
      </c>
      <c r="N827" s="6">
        <v>15808.15</v>
      </c>
      <c r="O827" s="6">
        <v>15289.86</v>
      </c>
      <c r="P827" s="37">
        <v>698250</v>
      </c>
    </row>
    <row r="828" spans="2:16" ht="15" thickBot="1">
      <c r="B828" s="9">
        <f t="shared" si="77"/>
        <v>3</v>
      </c>
      <c r="C828" s="15">
        <f t="shared" ref="C828:C891" si="78">WEEKDAY(D828,2)</f>
        <v>3</v>
      </c>
      <c r="D828" s="25">
        <f t="shared" ref="D828:D891" si="79">K828</f>
        <v>41458</v>
      </c>
      <c r="E828" s="16">
        <f t="shared" ref="E828:E891" si="80">M828/L829-1</f>
        <v>-1.1146897865441874E-2</v>
      </c>
      <c r="F828" s="17">
        <f t="shared" ref="F828:F891" si="81">L828/L829-1</f>
        <v>-5.3951298052611341E-3</v>
      </c>
      <c r="G828" s="18">
        <f t="shared" ref="G828:G891" si="82">F828-E828</f>
        <v>5.7517680601807397E-3</v>
      </c>
      <c r="J828" s="28"/>
      <c r="K828" s="8">
        <v>41458</v>
      </c>
      <c r="L828" s="7">
        <v>15282.81</v>
      </c>
      <c r="M828" s="6">
        <v>15194.43</v>
      </c>
      <c r="N828" s="6">
        <v>15317.1</v>
      </c>
      <c r="O828" s="6">
        <v>15023.6</v>
      </c>
      <c r="P828" s="37">
        <v>686520</v>
      </c>
    </row>
    <row r="829" spans="2:16" ht="15" thickBot="1">
      <c r="B829" s="9">
        <f t="shared" si="77"/>
        <v>2</v>
      </c>
      <c r="C829" s="15">
        <f t="shared" si="78"/>
        <v>2</v>
      </c>
      <c r="D829" s="25">
        <f t="shared" si="79"/>
        <v>41457</v>
      </c>
      <c r="E829" s="16">
        <f t="shared" si="80"/>
        <v>2.6320266346346877E-3</v>
      </c>
      <c r="F829" s="17">
        <f t="shared" si="81"/>
        <v>-6.0713202243012354E-3</v>
      </c>
      <c r="G829" s="18">
        <f t="shared" si="82"/>
        <v>-8.7033468589359231E-3</v>
      </c>
      <c r="J829" s="28"/>
      <c r="K829" s="8">
        <v>41457</v>
      </c>
      <c r="L829" s="7">
        <v>15365.71</v>
      </c>
      <c r="M829" s="6">
        <v>15500.26</v>
      </c>
      <c r="N829" s="6">
        <v>15515.19</v>
      </c>
      <c r="O829" s="6">
        <v>15278.36</v>
      </c>
      <c r="P829" s="37">
        <v>450100</v>
      </c>
    </row>
    <row r="830" spans="2:16" ht="15" thickBot="1">
      <c r="B830" s="19">
        <v>1</v>
      </c>
      <c r="C830" s="15">
        <f t="shared" si="78"/>
        <v>1</v>
      </c>
      <c r="D830" s="25">
        <f t="shared" si="79"/>
        <v>41456</v>
      </c>
      <c r="E830" s="16">
        <f t="shared" si="80"/>
        <v>7.8632323836822504E-3</v>
      </c>
      <c r="F830" s="17">
        <f t="shared" si="81"/>
        <v>1.4455407342079063E-2</v>
      </c>
      <c r="G830" s="18">
        <f t="shared" si="82"/>
        <v>6.5921749583968126E-3</v>
      </c>
      <c r="J830" s="28"/>
      <c r="K830" s="8">
        <v>41456</v>
      </c>
      <c r="L830" s="5">
        <v>15459.57</v>
      </c>
      <c r="M830" s="6">
        <v>15359.11</v>
      </c>
      <c r="N830" s="6">
        <v>15552.5</v>
      </c>
      <c r="O830" s="6">
        <v>15216.88</v>
      </c>
      <c r="P830" s="37">
        <v>510630</v>
      </c>
    </row>
    <row r="831" spans="2:16" ht="15" thickBot="1">
      <c r="B831" s="9">
        <f t="shared" si="77"/>
        <v>20</v>
      </c>
      <c r="C831" s="15">
        <f t="shared" si="78"/>
        <v>5</v>
      </c>
      <c r="D831" s="25">
        <f t="shared" si="79"/>
        <v>41453</v>
      </c>
      <c r="E831" s="16">
        <f t="shared" si="80"/>
        <v>4.3180797474089427E-3</v>
      </c>
      <c r="F831" s="17">
        <f t="shared" si="81"/>
        <v>-1.2390419734460423E-2</v>
      </c>
      <c r="G831" s="18">
        <f t="shared" si="82"/>
        <v>-1.6708499481869366E-2</v>
      </c>
      <c r="J831" s="28"/>
      <c r="K831" s="8">
        <v>41453</v>
      </c>
      <c r="L831" s="7">
        <v>15239.28</v>
      </c>
      <c r="M831" s="6">
        <v>15497.1</v>
      </c>
      <c r="N831" s="6">
        <v>15545.86</v>
      </c>
      <c r="O831" s="6">
        <v>15195</v>
      </c>
      <c r="P831" s="37">
        <v>608490</v>
      </c>
    </row>
    <row r="832" spans="2:16" ht="15" thickBot="1">
      <c r="B832" s="9">
        <f t="shared" si="77"/>
        <v>19</v>
      </c>
      <c r="C832" s="15">
        <f t="shared" si="78"/>
        <v>4</v>
      </c>
      <c r="D832" s="25">
        <f t="shared" si="79"/>
        <v>41452</v>
      </c>
      <c r="E832" s="16">
        <f t="shared" si="80"/>
        <v>2.4188173050887496E-3</v>
      </c>
      <c r="F832" s="17">
        <f t="shared" si="81"/>
        <v>4.3995657064299643E-3</v>
      </c>
      <c r="G832" s="18">
        <f t="shared" si="82"/>
        <v>1.9807484013412147E-3</v>
      </c>
      <c r="J832" s="28"/>
      <c r="K832" s="8">
        <v>41452</v>
      </c>
      <c r="L832" s="5">
        <v>15430.47</v>
      </c>
      <c r="M832" s="6">
        <v>15400.04</v>
      </c>
      <c r="N832" s="6">
        <v>15551</v>
      </c>
      <c r="O832" s="6">
        <v>15296.58</v>
      </c>
      <c r="P832" s="37">
        <v>612700</v>
      </c>
    </row>
    <row r="833" spans="2:16" ht="15" thickBot="1">
      <c r="B833" s="9">
        <f t="shared" si="77"/>
        <v>18</v>
      </c>
      <c r="C833" s="15">
        <f t="shared" si="78"/>
        <v>3</v>
      </c>
      <c r="D833" s="25">
        <f t="shared" si="79"/>
        <v>41451</v>
      </c>
      <c r="E833" s="16">
        <f t="shared" si="80"/>
        <v>1.8091769905097532E-3</v>
      </c>
      <c r="F833" s="17">
        <f t="shared" si="81"/>
        <v>2.0343942876763998E-2</v>
      </c>
      <c r="G833" s="18">
        <f t="shared" si="82"/>
        <v>1.8534765886254245E-2</v>
      </c>
      <c r="J833" s="28"/>
      <c r="K833" s="8">
        <v>41451</v>
      </c>
      <c r="L833" s="5">
        <v>15362.88</v>
      </c>
      <c r="M833" s="6">
        <v>15083.81</v>
      </c>
      <c r="N833" s="6">
        <v>15396.27</v>
      </c>
      <c r="O833" s="6">
        <v>15008.71</v>
      </c>
      <c r="P833" s="37">
        <v>795200</v>
      </c>
    </row>
    <row r="834" spans="2:16" ht="15" thickBot="1">
      <c r="B834" s="9">
        <f t="shared" si="77"/>
        <v>17</v>
      </c>
      <c r="C834" s="15">
        <f t="shared" si="78"/>
        <v>2</v>
      </c>
      <c r="D834" s="25">
        <f t="shared" si="79"/>
        <v>41450</v>
      </c>
      <c r="E834" s="16">
        <f t="shared" si="80"/>
        <v>1.0755420390434978E-2</v>
      </c>
      <c r="F834" s="17">
        <f t="shared" si="81"/>
        <v>-3.6929987202545256E-3</v>
      </c>
      <c r="G834" s="18">
        <f t="shared" si="82"/>
        <v>-1.4448419110689503E-2</v>
      </c>
      <c r="J834" s="28"/>
      <c r="K834" s="8">
        <v>41450</v>
      </c>
      <c r="L834" s="7">
        <v>15056.57</v>
      </c>
      <c r="M834" s="6">
        <v>15274.92</v>
      </c>
      <c r="N834" s="6">
        <v>15309.36</v>
      </c>
      <c r="O834" s="6">
        <v>15003.54</v>
      </c>
      <c r="P834" s="37">
        <v>842360</v>
      </c>
    </row>
    <row r="835" spans="2:16" ht="15" thickBot="1">
      <c r="B835" s="9">
        <f t="shared" si="77"/>
        <v>16</v>
      </c>
      <c r="C835" s="15">
        <f t="shared" si="78"/>
        <v>1</v>
      </c>
      <c r="D835" s="25">
        <f t="shared" si="79"/>
        <v>41449</v>
      </c>
      <c r="E835" s="16">
        <f t="shared" si="80"/>
        <v>-7.9548627909080682E-3</v>
      </c>
      <c r="F835" s="17">
        <f t="shared" si="81"/>
        <v>-9.3373766455454588E-3</v>
      </c>
      <c r="G835" s="18">
        <f t="shared" si="82"/>
        <v>-1.3825138546373905E-3</v>
      </c>
      <c r="J835" s="28"/>
      <c r="K835" s="8">
        <v>41449</v>
      </c>
      <c r="L835" s="7">
        <v>15112.38</v>
      </c>
      <c r="M835" s="6">
        <v>15133.47</v>
      </c>
      <c r="N835" s="6">
        <v>15267.84</v>
      </c>
      <c r="O835" s="6">
        <v>14901.46</v>
      </c>
      <c r="P835" s="37">
        <v>853680</v>
      </c>
    </row>
    <row r="836" spans="2:16" ht="15" thickBot="1">
      <c r="B836" s="9">
        <f t="shared" si="77"/>
        <v>15</v>
      </c>
      <c r="C836" s="15">
        <f t="shared" si="78"/>
        <v>5</v>
      </c>
      <c r="D836" s="25">
        <f t="shared" si="79"/>
        <v>41446</v>
      </c>
      <c r="E836" s="16">
        <f t="shared" si="80"/>
        <v>-6.3282876386805409E-4</v>
      </c>
      <c r="F836" s="17">
        <f t="shared" si="81"/>
        <v>-1.8934056541706545E-2</v>
      </c>
      <c r="G836" s="18">
        <f t="shared" si="82"/>
        <v>-1.8301227777838491E-2</v>
      </c>
      <c r="J836" s="28"/>
      <c r="K836" s="8">
        <v>41446</v>
      </c>
      <c r="L836" s="7">
        <v>15254.82</v>
      </c>
      <c r="M836" s="6">
        <v>15539.39</v>
      </c>
      <c r="N836" s="6">
        <v>15692.53</v>
      </c>
      <c r="O836" s="6">
        <v>15254.82</v>
      </c>
      <c r="P836" s="37">
        <v>1110000</v>
      </c>
    </row>
    <row r="837" spans="2:16" ht="15" thickBot="1">
      <c r="B837" s="9">
        <f t="shared" si="77"/>
        <v>14</v>
      </c>
      <c r="C837" s="15">
        <f t="shared" si="78"/>
        <v>4</v>
      </c>
      <c r="D837" s="25">
        <f t="shared" si="79"/>
        <v>41445</v>
      </c>
      <c r="E837" s="16">
        <f t="shared" si="80"/>
        <v>-1.4583509914293802E-2</v>
      </c>
      <c r="F837" s="17">
        <f t="shared" si="81"/>
        <v>-3.0930128783610678E-2</v>
      </c>
      <c r="G837" s="18">
        <f t="shared" si="82"/>
        <v>-1.6346618869316876E-2</v>
      </c>
      <c r="J837" s="28"/>
      <c r="K837" s="8">
        <v>41445</v>
      </c>
      <c r="L837" s="7">
        <v>15549.23</v>
      </c>
      <c r="M837" s="6">
        <v>15811.52</v>
      </c>
      <c r="N837" s="6">
        <v>15952.08</v>
      </c>
      <c r="O837" s="6">
        <v>15505.35</v>
      </c>
      <c r="P837" s="37">
        <v>954050</v>
      </c>
    </row>
    <row r="838" spans="2:16" ht="15" thickBot="1">
      <c r="B838" s="9">
        <f t="shared" ref="B838:B901" si="83">B839+1</f>
        <v>13</v>
      </c>
      <c r="C838" s="15">
        <f t="shared" si="78"/>
        <v>3</v>
      </c>
      <c r="D838" s="25">
        <f t="shared" si="79"/>
        <v>41444</v>
      </c>
      <c r="E838" s="16">
        <f t="shared" si="80"/>
        <v>3.7696151485928642E-3</v>
      </c>
      <c r="F838" s="17">
        <f t="shared" si="81"/>
        <v>-9.4098385350236402E-3</v>
      </c>
      <c r="G838" s="18">
        <f t="shared" si="82"/>
        <v>-1.3179453683616504E-2</v>
      </c>
      <c r="J838" s="28"/>
      <c r="K838" s="8">
        <v>41444</v>
      </c>
      <c r="L838" s="7">
        <v>16045.52</v>
      </c>
      <c r="M838" s="6">
        <v>16259</v>
      </c>
      <c r="N838" s="6">
        <v>16303.63</v>
      </c>
      <c r="O838" s="6">
        <v>16045.52</v>
      </c>
      <c r="P838" s="37">
        <v>597510</v>
      </c>
    </row>
    <row r="839" spans="2:16" ht="15" thickBot="1">
      <c r="B839" s="9">
        <f t="shared" si="83"/>
        <v>12</v>
      </c>
      <c r="C839" s="15">
        <f t="shared" si="78"/>
        <v>2</v>
      </c>
      <c r="D839" s="25">
        <f t="shared" si="79"/>
        <v>41443</v>
      </c>
      <c r="E839" s="16">
        <f t="shared" si="80"/>
        <v>-3.2598211451796422E-3</v>
      </c>
      <c r="F839" s="17">
        <f t="shared" si="81"/>
        <v>2.3465278180889726E-4</v>
      </c>
      <c r="G839" s="18">
        <f t="shared" si="82"/>
        <v>3.4944739269885394E-3</v>
      </c>
      <c r="J839" s="28"/>
      <c r="K839" s="8">
        <v>41443</v>
      </c>
      <c r="L839" s="5">
        <v>16197.94</v>
      </c>
      <c r="M839" s="6">
        <v>16141.35</v>
      </c>
      <c r="N839" s="6">
        <v>16320.83</v>
      </c>
      <c r="O839" s="6">
        <v>16107.35</v>
      </c>
      <c r="P839" s="37">
        <v>584940</v>
      </c>
    </row>
    <row r="840" spans="2:16" ht="15" thickBot="1">
      <c r="B840" s="9">
        <f t="shared" si="83"/>
        <v>11</v>
      </c>
      <c r="C840" s="15">
        <f t="shared" si="78"/>
        <v>1</v>
      </c>
      <c r="D840" s="25">
        <f t="shared" si="79"/>
        <v>41442</v>
      </c>
      <c r="E840" s="16">
        <f t="shared" si="80"/>
        <v>-9.4100691454435115E-5</v>
      </c>
      <c r="F840" s="17">
        <f t="shared" si="81"/>
        <v>2.5524812556994014E-3</v>
      </c>
      <c r="G840" s="18">
        <f t="shared" si="82"/>
        <v>2.6465819471538365E-3</v>
      </c>
      <c r="J840" s="28"/>
      <c r="K840" s="8">
        <v>41442</v>
      </c>
      <c r="L840" s="5">
        <v>16194.14</v>
      </c>
      <c r="M840" s="6">
        <v>16151.39</v>
      </c>
      <c r="N840" s="6">
        <v>16301.45</v>
      </c>
      <c r="O840" s="6">
        <v>15955.77</v>
      </c>
      <c r="P840" s="37">
        <v>659250</v>
      </c>
    </row>
    <row r="841" spans="2:16" ht="15" thickBot="1">
      <c r="B841" s="9">
        <f t="shared" si="83"/>
        <v>10</v>
      </c>
      <c r="C841" s="15">
        <f t="shared" si="78"/>
        <v>5</v>
      </c>
      <c r="D841" s="25">
        <f t="shared" si="79"/>
        <v>41439</v>
      </c>
      <c r="E841" s="16">
        <f t="shared" si="80"/>
        <v>4.0201435313476086E-3</v>
      </c>
      <c r="F841" s="17">
        <f t="shared" si="81"/>
        <v>2.2691256203331012E-3</v>
      </c>
      <c r="G841" s="18">
        <f t="shared" si="82"/>
        <v>-1.7510179110145074E-3</v>
      </c>
      <c r="J841" s="28"/>
      <c r="K841" s="8">
        <v>41439</v>
      </c>
      <c r="L841" s="5">
        <v>16152.91</v>
      </c>
      <c r="M841" s="6">
        <v>16181.13</v>
      </c>
      <c r="N841" s="6">
        <v>16227.87</v>
      </c>
      <c r="O841" s="6">
        <v>16020.11</v>
      </c>
      <c r="P841" s="37">
        <v>686170</v>
      </c>
    </row>
    <row r="842" spans="2:16" ht="15" thickBot="1">
      <c r="B842" s="9">
        <f t="shared" si="83"/>
        <v>9</v>
      </c>
      <c r="C842" s="15">
        <f t="shared" si="78"/>
        <v>4</v>
      </c>
      <c r="D842" s="25">
        <f t="shared" si="79"/>
        <v>41438</v>
      </c>
      <c r="E842" s="16">
        <f t="shared" si="80"/>
        <v>-1.4797775590784656E-2</v>
      </c>
      <c r="F842" s="17">
        <f t="shared" si="81"/>
        <v>5.7607231139731319E-3</v>
      </c>
      <c r="G842" s="18">
        <f t="shared" si="82"/>
        <v>2.0558498704757788E-2</v>
      </c>
      <c r="J842" s="28"/>
      <c r="K842" s="8">
        <v>41438</v>
      </c>
      <c r="L842" s="5">
        <v>16116.34</v>
      </c>
      <c r="M842" s="6">
        <v>15786.91</v>
      </c>
      <c r="N842" s="6">
        <v>16119.87</v>
      </c>
      <c r="O842" s="6">
        <v>15764.8</v>
      </c>
      <c r="P842" s="37">
        <v>928030</v>
      </c>
    </row>
    <row r="843" spans="2:16" ht="15" thickBot="1">
      <c r="B843" s="9">
        <f t="shared" si="83"/>
        <v>8</v>
      </c>
      <c r="C843" s="15">
        <f t="shared" si="78"/>
        <v>3</v>
      </c>
      <c r="D843" s="25">
        <f t="shared" si="79"/>
        <v>41437</v>
      </c>
      <c r="E843" s="16">
        <f t="shared" si="80"/>
        <v>-2.0974297889062576E-3</v>
      </c>
      <c r="F843" s="17">
        <f t="shared" si="81"/>
        <v>-1.6121842496285232E-2</v>
      </c>
      <c r="G843" s="18">
        <f t="shared" si="82"/>
        <v>-1.4024412707378975E-2</v>
      </c>
      <c r="J843" s="28"/>
      <c r="K843" s="8">
        <v>41437</v>
      </c>
      <c r="L843" s="7">
        <v>16024.03</v>
      </c>
      <c r="M843" s="6">
        <v>16252.44</v>
      </c>
      <c r="N843" s="6">
        <v>16377.92</v>
      </c>
      <c r="O843" s="6">
        <v>15992.28</v>
      </c>
      <c r="P843" s="37">
        <v>808710</v>
      </c>
    </row>
    <row r="844" spans="2:16" ht="15" thickBot="1">
      <c r="B844" s="9">
        <f t="shared" si="83"/>
        <v>7</v>
      </c>
      <c r="C844" s="15">
        <f t="shared" si="78"/>
        <v>2</v>
      </c>
      <c r="D844" s="25">
        <f t="shared" si="79"/>
        <v>41436</v>
      </c>
      <c r="E844" s="16">
        <f t="shared" si="80"/>
        <v>-3.006703172319436E-3</v>
      </c>
      <c r="F844" s="17">
        <f t="shared" si="81"/>
        <v>-1.6292248165959422E-2</v>
      </c>
      <c r="G844" s="18">
        <f t="shared" si="82"/>
        <v>-1.3285544993639986E-2</v>
      </c>
      <c r="J844" s="28"/>
      <c r="K844" s="8">
        <v>41436</v>
      </c>
      <c r="L844" s="7">
        <v>16286.6</v>
      </c>
      <c r="M844" s="6">
        <v>16506.560000000001</v>
      </c>
      <c r="N844" s="6">
        <v>16506.560000000001</v>
      </c>
      <c r="O844" s="6">
        <v>16113.93</v>
      </c>
      <c r="P844" s="37">
        <v>918430</v>
      </c>
    </row>
    <row r="845" spans="2:16" ht="15" thickBot="1">
      <c r="B845" s="9">
        <f t="shared" si="83"/>
        <v>6</v>
      </c>
      <c r="C845" s="15">
        <f t="shared" si="78"/>
        <v>1</v>
      </c>
      <c r="D845" s="25">
        <f t="shared" si="79"/>
        <v>41435</v>
      </c>
      <c r="E845" s="16">
        <f t="shared" si="80"/>
        <v>-6.8359948379548285E-4</v>
      </c>
      <c r="F845" s="17">
        <f t="shared" si="81"/>
        <v>-8.0713867183990207E-3</v>
      </c>
      <c r="G845" s="18">
        <f t="shared" si="82"/>
        <v>-7.3877872346035378E-3</v>
      </c>
      <c r="J845" s="28"/>
      <c r="K845" s="8">
        <v>41435</v>
      </c>
      <c r="L845" s="7">
        <v>16556.34</v>
      </c>
      <c r="M845" s="6">
        <v>16679.650000000001</v>
      </c>
      <c r="N845" s="6">
        <v>16768.310000000001</v>
      </c>
      <c r="O845" s="6">
        <v>16458.080000000002</v>
      </c>
      <c r="P845" s="37">
        <v>826430</v>
      </c>
    </row>
    <row r="846" spans="2:16" ht="15" thickBot="1">
      <c r="B846" s="9">
        <f t="shared" si="83"/>
        <v>5</v>
      </c>
      <c r="C846" s="15">
        <f t="shared" si="78"/>
        <v>5</v>
      </c>
      <c r="D846" s="25">
        <f t="shared" si="79"/>
        <v>41432</v>
      </c>
      <c r="E846" s="16">
        <f t="shared" si="80"/>
        <v>3.929786681690306E-3</v>
      </c>
      <c r="F846" s="17">
        <f t="shared" si="81"/>
        <v>1.004473808582973E-2</v>
      </c>
      <c r="G846" s="18">
        <f t="shared" si="82"/>
        <v>6.1149514041394237E-3</v>
      </c>
      <c r="J846" s="28"/>
      <c r="K846" s="8">
        <v>41432</v>
      </c>
      <c r="L846" s="5">
        <v>16691.060000000001</v>
      </c>
      <c r="M846" s="6">
        <v>16590.009999999998</v>
      </c>
      <c r="N846" s="6">
        <v>16747.259999999998</v>
      </c>
      <c r="O846" s="6">
        <v>16417.099999999999</v>
      </c>
      <c r="P846" s="37">
        <v>958310</v>
      </c>
    </row>
    <row r="847" spans="2:16" ht="15" thickBot="1">
      <c r="B847" s="9">
        <f t="shared" si="83"/>
        <v>4</v>
      </c>
      <c r="C847" s="15">
        <f t="shared" si="78"/>
        <v>4</v>
      </c>
      <c r="D847" s="25">
        <f t="shared" si="79"/>
        <v>41431</v>
      </c>
      <c r="E847" s="16">
        <f t="shared" si="80"/>
        <v>8.0371594887118647E-4</v>
      </c>
      <c r="F847" s="17">
        <f t="shared" si="81"/>
        <v>-2.6285754016959317E-2</v>
      </c>
      <c r="G847" s="18">
        <f t="shared" si="82"/>
        <v>-2.7089469965830504E-2</v>
      </c>
      <c r="J847" s="28"/>
      <c r="K847" s="8">
        <v>41431</v>
      </c>
      <c r="L847" s="7">
        <v>16525.07</v>
      </c>
      <c r="M847" s="6">
        <v>16984.810000000001</v>
      </c>
      <c r="N847" s="6">
        <v>17047.34</v>
      </c>
      <c r="O847" s="6">
        <v>16525.07</v>
      </c>
      <c r="P847" s="37">
        <v>1280000</v>
      </c>
    </row>
    <row r="848" spans="2:16" ht="15" thickBot="1">
      <c r="B848" s="9">
        <f t="shared" si="83"/>
        <v>3</v>
      </c>
      <c r="C848" s="15">
        <f t="shared" si="78"/>
        <v>3</v>
      </c>
      <c r="D848" s="25">
        <f t="shared" si="79"/>
        <v>41430</v>
      </c>
      <c r="E848" s="16">
        <f t="shared" si="80"/>
        <v>-6.7018840441003258E-3</v>
      </c>
      <c r="F848" s="17">
        <f t="shared" si="81"/>
        <v>-9.5888764131498716E-3</v>
      </c>
      <c r="G848" s="18">
        <f t="shared" si="82"/>
        <v>-2.8869923690495458E-3</v>
      </c>
      <c r="J848" s="28"/>
      <c r="K848" s="8">
        <v>41430</v>
      </c>
      <c r="L848" s="7">
        <v>16971.169999999998</v>
      </c>
      <c r="M848" s="6">
        <v>17020.64</v>
      </c>
      <c r="N848" s="6">
        <v>17270.23</v>
      </c>
      <c r="O848" s="6">
        <v>16968.060000000001</v>
      </c>
      <c r="P848" s="37">
        <v>1020000</v>
      </c>
    </row>
    <row r="849" spans="2:16" ht="15" thickBot="1">
      <c r="B849" s="9">
        <f t="shared" si="83"/>
        <v>2</v>
      </c>
      <c r="C849" s="15">
        <f t="shared" si="78"/>
        <v>2</v>
      </c>
      <c r="D849" s="25">
        <f t="shared" si="79"/>
        <v>41429</v>
      </c>
      <c r="E849" s="16">
        <f t="shared" si="80"/>
        <v>7.8924613305741964E-3</v>
      </c>
      <c r="F849" s="17">
        <f t="shared" si="81"/>
        <v>4.5392058295057325E-3</v>
      </c>
      <c r="G849" s="18">
        <f t="shared" si="82"/>
        <v>-3.3532555010684639E-3</v>
      </c>
      <c r="J849" s="28"/>
      <c r="K849" s="8">
        <v>41429</v>
      </c>
      <c r="L849" s="5">
        <v>17135.48</v>
      </c>
      <c r="M849" s="6">
        <v>17192.68</v>
      </c>
      <c r="N849" s="6">
        <v>17289.63</v>
      </c>
      <c r="O849" s="6">
        <v>17081.53</v>
      </c>
      <c r="P849" s="37">
        <v>673440</v>
      </c>
    </row>
    <row r="850" spans="2:16" ht="15" thickBot="1">
      <c r="B850" s="19">
        <v>1</v>
      </c>
      <c r="C850" s="15">
        <f t="shared" si="78"/>
        <v>1</v>
      </c>
      <c r="D850" s="25">
        <f t="shared" si="79"/>
        <v>41428</v>
      </c>
      <c r="E850" s="16">
        <f t="shared" si="80"/>
        <v>-6.7775913670670151E-3</v>
      </c>
      <c r="F850" s="17">
        <f t="shared" si="81"/>
        <v>-9.0640917202663429E-3</v>
      </c>
      <c r="G850" s="18">
        <f t="shared" si="82"/>
        <v>-2.2865003531993278E-3</v>
      </c>
      <c r="J850" s="28"/>
      <c r="K850" s="8">
        <v>41428</v>
      </c>
      <c r="L850" s="7">
        <v>17058.05</v>
      </c>
      <c r="M850" s="6">
        <v>17097.41</v>
      </c>
      <c r="N850" s="6">
        <v>17289.46</v>
      </c>
      <c r="O850" s="6">
        <v>17018.830000000002</v>
      </c>
      <c r="P850" s="37">
        <v>844020</v>
      </c>
    </row>
    <row r="851" spans="2:16" ht="15" thickBot="1">
      <c r="B851" s="9">
        <f t="shared" si="83"/>
        <v>22</v>
      </c>
      <c r="C851" s="15">
        <f t="shared" si="78"/>
        <v>5</v>
      </c>
      <c r="D851" s="25">
        <f t="shared" si="79"/>
        <v>41425</v>
      </c>
      <c r="E851" s="16">
        <f t="shared" si="80"/>
        <v>3.0545860286692594E-3</v>
      </c>
      <c r="F851" s="17">
        <f t="shared" si="81"/>
        <v>-7.8889006717782761E-3</v>
      </c>
      <c r="G851" s="18">
        <f t="shared" si="82"/>
        <v>-1.0943486700447536E-2</v>
      </c>
      <c r="J851" s="28"/>
      <c r="K851" s="8">
        <v>41425</v>
      </c>
      <c r="L851" s="7">
        <v>17214.080000000002</v>
      </c>
      <c r="M851" s="6">
        <v>17403.96</v>
      </c>
      <c r="N851" s="6">
        <v>17404.48</v>
      </c>
      <c r="O851" s="6">
        <v>17108.88</v>
      </c>
      <c r="P851" s="37">
        <v>1240000</v>
      </c>
    </row>
    <row r="852" spans="2:16" ht="15" thickBot="1">
      <c r="B852" s="9">
        <f t="shared" si="83"/>
        <v>21</v>
      </c>
      <c r="C852" s="15">
        <f t="shared" si="78"/>
        <v>4</v>
      </c>
      <c r="D852" s="25">
        <f t="shared" si="79"/>
        <v>41424</v>
      </c>
      <c r="E852" s="16">
        <f t="shared" si="80"/>
        <v>-2.2875077594258775E-3</v>
      </c>
      <c r="F852" s="17">
        <f t="shared" si="81"/>
        <v>6.6055194899374836E-3</v>
      </c>
      <c r="G852" s="18">
        <f t="shared" si="82"/>
        <v>8.8930272493633611E-3</v>
      </c>
      <c r="J852" s="28"/>
      <c r="K852" s="8">
        <v>41424</v>
      </c>
      <c r="L852" s="5">
        <v>17350.96</v>
      </c>
      <c r="M852" s="6">
        <v>17197.669999999998</v>
      </c>
      <c r="N852" s="6">
        <v>17440.39</v>
      </c>
      <c r="O852" s="6">
        <v>17194.330000000002</v>
      </c>
      <c r="P852" s="37">
        <v>751150</v>
      </c>
    </row>
    <row r="853" spans="2:16" ht="15" thickBot="1">
      <c r="B853" s="9">
        <f t="shared" si="83"/>
        <v>20</v>
      </c>
      <c r="C853" s="15">
        <f t="shared" si="78"/>
        <v>3</v>
      </c>
      <c r="D853" s="25">
        <f t="shared" si="79"/>
        <v>41423</v>
      </c>
      <c r="E853" s="16">
        <f t="shared" si="80"/>
        <v>-8.9139196303152923E-3</v>
      </c>
      <c r="F853" s="17">
        <f t="shared" si="81"/>
        <v>-1.6135467377177637E-2</v>
      </c>
      <c r="G853" s="18">
        <f t="shared" si="82"/>
        <v>-7.2215477468623446E-3</v>
      </c>
      <c r="J853" s="28"/>
      <c r="K853" s="8">
        <v>41423</v>
      </c>
      <c r="L853" s="7">
        <v>17237.099999999999</v>
      </c>
      <c r="M853" s="6">
        <v>17363.62</v>
      </c>
      <c r="N853" s="6">
        <v>17489</v>
      </c>
      <c r="O853" s="6">
        <v>17237.099999999999</v>
      </c>
      <c r="P853" s="37">
        <v>702530</v>
      </c>
    </row>
    <row r="854" spans="2:16" ht="15" thickBot="1">
      <c r="B854" s="9">
        <f t="shared" si="83"/>
        <v>19</v>
      </c>
      <c r="C854" s="15">
        <f t="shared" si="78"/>
        <v>2</v>
      </c>
      <c r="D854" s="25">
        <f t="shared" si="79"/>
        <v>41422</v>
      </c>
      <c r="E854" s="16">
        <f t="shared" si="80"/>
        <v>6.5294609581474372E-3</v>
      </c>
      <c r="F854" s="17">
        <f t="shared" si="81"/>
        <v>2.1017358085919202E-2</v>
      </c>
      <c r="G854" s="18">
        <f t="shared" si="82"/>
        <v>1.4487897127771765E-2</v>
      </c>
      <c r="J854" s="28"/>
      <c r="K854" s="8">
        <v>41422</v>
      </c>
      <c r="L854" s="5">
        <v>17519.79</v>
      </c>
      <c r="M854" s="6">
        <v>17271.189999999999</v>
      </c>
      <c r="N854" s="6">
        <v>17549.349999999999</v>
      </c>
      <c r="O854" s="6">
        <v>17265.93</v>
      </c>
      <c r="P854" s="37">
        <v>812970</v>
      </c>
    </row>
    <row r="855" spans="2:16" ht="15" thickBot="1">
      <c r="B855" s="9">
        <f t="shared" si="83"/>
        <v>18</v>
      </c>
      <c r="C855" s="15">
        <f t="shared" si="78"/>
        <v>1</v>
      </c>
      <c r="D855" s="25">
        <f t="shared" si="79"/>
        <v>41421</v>
      </c>
      <c r="E855" s="16">
        <f t="shared" si="80"/>
        <v>6.6545105259512294E-3</v>
      </c>
      <c r="F855" s="17">
        <f t="shared" si="81"/>
        <v>1.5526007571843525E-2</v>
      </c>
      <c r="G855" s="18">
        <f t="shared" si="82"/>
        <v>8.8714970458922959E-3</v>
      </c>
      <c r="J855" s="28"/>
      <c r="K855" s="8">
        <v>41421</v>
      </c>
      <c r="L855" s="5">
        <v>17159.150000000001</v>
      </c>
      <c r="M855" s="6">
        <v>17009.25</v>
      </c>
      <c r="N855" s="6">
        <v>17159.150000000001</v>
      </c>
      <c r="O855" s="6">
        <v>16987.32</v>
      </c>
      <c r="P855" s="37">
        <v>402880</v>
      </c>
    </row>
    <row r="856" spans="2:16" ht="15" thickBot="1">
      <c r="B856" s="9">
        <f t="shared" si="83"/>
        <v>17</v>
      </c>
      <c r="C856" s="15">
        <f t="shared" si="78"/>
        <v>5</v>
      </c>
      <c r="D856" s="25">
        <f t="shared" si="79"/>
        <v>41418</v>
      </c>
      <c r="E856" s="16">
        <f t="shared" si="80"/>
        <v>7.3751706507718673E-3</v>
      </c>
      <c r="F856" s="17">
        <f t="shared" si="81"/>
        <v>-6.5620439758659055E-3</v>
      </c>
      <c r="G856" s="18">
        <f t="shared" si="82"/>
        <v>-1.3937214626637773E-2</v>
      </c>
      <c r="J856" s="28"/>
      <c r="K856" s="8">
        <v>41418</v>
      </c>
      <c r="L856" s="7">
        <v>16896.810000000001</v>
      </c>
      <c r="M856" s="6">
        <v>17133.86</v>
      </c>
      <c r="N856" s="6">
        <v>17149.93</v>
      </c>
      <c r="O856" s="6">
        <v>16844.89</v>
      </c>
      <c r="P856" s="37">
        <v>749920</v>
      </c>
    </row>
    <row r="857" spans="2:16" ht="15" thickBot="1">
      <c r="B857" s="9">
        <f t="shared" si="83"/>
        <v>16</v>
      </c>
      <c r="C857" s="15">
        <f t="shared" si="78"/>
        <v>4</v>
      </c>
      <c r="D857" s="25">
        <f t="shared" si="79"/>
        <v>41417</v>
      </c>
      <c r="E857" s="16">
        <f t="shared" si="80"/>
        <v>-2.3815277570379934E-2</v>
      </c>
      <c r="F857" s="17">
        <f t="shared" si="81"/>
        <v>-3.0608487893734382E-2</v>
      </c>
      <c r="G857" s="18">
        <f t="shared" si="82"/>
        <v>-6.7932103233544483E-3</v>
      </c>
      <c r="J857" s="28"/>
      <c r="K857" s="8">
        <v>41417</v>
      </c>
      <c r="L857" s="7">
        <v>17008.419999999998</v>
      </c>
      <c r="M857" s="6">
        <v>17127.61</v>
      </c>
      <c r="N857" s="6">
        <v>17223.599999999999</v>
      </c>
      <c r="O857" s="6">
        <v>17001.07</v>
      </c>
      <c r="P857" s="37">
        <v>955450</v>
      </c>
    </row>
    <row r="858" spans="2:16" ht="15" thickBot="1">
      <c r="B858" s="9">
        <f t="shared" si="83"/>
        <v>15</v>
      </c>
      <c r="C858" s="15">
        <f t="shared" si="78"/>
        <v>3</v>
      </c>
      <c r="D858" s="25">
        <f t="shared" si="79"/>
        <v>41416</v>
      </c>
      <c r="E858" s="16">
        <f t="shared" si="80"/>
        <v>2.5597519318638629E-3</v>
      </c>
      <c r="F858" s="17">
        <f t="shared" si="81"/>
        <v>6.7703458964496477E-3</v>
      </c>
      <c r="G858" s="18">
        <f t="shared" si="82"/>
        <v>4.2105939645857848E-3</v>
      </c>
      <c r="J858" s="28"/>
      <c r="K858" s="8">
        <v>41416</v>
      </c>
      <c r="L858" s="5">
        <v>17545.46</v>
      </c>
      <c r="M858" s="6">
        <v>17472.080000000002</v>
      </c>
      <c r="N858" s="6">
        <v>17591.27</v>
      </c>
      <c r="O858" s="6">
        <v>17386.13</v>
      </c>
      <c r="P858" s="37">
        <v>865720</v>
      </c>
    </row>
    <row r="859" spans="2:16" ht="15" thickBot="1">
      <c r="B859" s="9">
        <f t="shared" si="83"/>
        <v>14</v>
      </c>
      <c r="C859" s="15">
        <f t="shared" si="78"/>
        <v>2</v>
      </c>
      <c r="D859" s="25">
        <f t="shared" si="79"/>
        <v>41415</v>
      </c>
      <c r="E859" s="16">
        <f t="shared" si="80"/>
        <v>-5.7577396759089794E-4</v>
      </c>
      <c r="F859" s="17">
        <f t="shared" si="81"/>
        <v>-4.5353624034448758E-3</v>
      </c>
      <c r="G859" s="18">
        <f t="shared" si="82"/>
        <v>-3.9595884358539779E-3</v>
      </c>
      <c r="J859" s="28"/>
      <c r="K859" s="8">
        <v>41415</v>
      </c>
      <c r="L859" s="7">
        <v>17427.47</v>
      </c>
      <c r="M859" s="6">
        <v>17496.79</v>
      </c>
      <c r="N859" s="6">
        <v>17577.560000000001</v>
      </c>
      <c r="O859" s="6">
        <v>17325.32</v>
      </c>
      <c r="P859" s="37">
        <v>883820</v>
      </c>
    </row>
    <row r="860" spans="2:16" ht="15" thickBot="1">
      <c r="B860" s="9">
        <f t="shared" si="83"/>
        <v>13</v>
      </c>
      <c r="C860" s="15">
        <f t="shared" si="78"/>
        <v>1</v>
      </c>
      <c r="D860" s="25">
        <f t="shared" si="79"/>
        <v>41414</v>
      </c>
      <c r="E860" s="16">
        <f t="shared" si="80"/>
        <v>-8.2415912650152245E-3</v>
      </c>
      <c r="F860" s="17">
        <f t="shared" si="81"/>
        <v>-5.5519548572789956E-3</v>
      </c>
      <c r="G860" s="18">
        <f t="shared" si="82"/>
        <v>2.6896364077362289E-3</v>
      </c>
      <c r="J860" s="28"/>
      <c r="K860" s="8">
        <v>41414</v>
      </c>
      <c r="L860" s="7">
        <v>17506.87</v>
      </c>
      <c r="M860" s="6">
        <v>17459.52</v>
      </c>
      <c r="N860" s="6">
        <v>17514.89</v>
      </c>
      <c r="O860" s="6">
        <v>17354.25</v>
      </c>
      <c r="P860" s="37">
        <v>638990</v>
      </c>
    </row>
    <row r="861" spans="2:16" ht="15" thickBot="1">
      <c r="B861" s="9">
        <f t="shared" si="83"/>
        <v>12</v>
      </c>
      <c r="C861" s="15">
        <f t="shared" si="78"/>
        <v>5</v>
      </c>
      <c r="D861" s="25">
        <f t="shared" si="79"/>
        <v>41411</v>
      </c>
      <c r="E861" s="16">
        <f t="shared" si="80"/>
        <v>-5.2148853084328373E-3</v>
      </c>
      <c r="F861" s="17">
        <f t="shared" si="81"/>
        <v>3.4541703977597482E-3</v>
      </c>
      <c r="G861" s="18">
        <f t="shared" si="82"/>
        <v>8.6690557061925855E-3</v>
      </c>
      <c r="J861" s="28"/>
      <c r="K861" s="8">
        <v>41411</v>
      </c>
      <c r="L861" s="5">
        <v>17604.61</v>
      </c>
      <c r="M861" s="6">
        <v>17452.52</v>
      </c>
      <c r="N861" s="6">
        <v>17644.73</v>
      </c>
      <c r="O861" s="6">
        <v>17452.3</v>
      </c>
      <c r="P861" s="37">
        <v>956210</v>
      </c>
    </row>
    <row r="862" spans="2:16" ht="15" thickBot="1">
      <c r="B862" s="9">
        <f t="shared" si="83"/>
        <v>11</v>
      </c>
      <c r="C862" s="15">
        <f t="shared" si="78"/>
        <v>4</v>
      </c>
      <c r="D862" s="25">
        <f t="shared" si="79"/>
        <v>41410</v>
      </c>
      <c r="E862" s="16">
        <f t="shared" si="80"/>
        <v>-1.5063193957345344E-3</v>
      </c>
      <c r="F862" s="17">
        <f t="shared" si="81"/>
        <v>2.9177435278284758E-3</v>
      </c>
      <c r="G862" s="18">
        <f t="shared" si="82"/>
        <v>4.4240629235630102E-3</v>
      </c>
      <c r="J862" s="28"/>
      <c r="K862" s="8">
        <v>41410</v>
      </c>
      <c r="L862" s="5">
        <v>17544.009999999998</v>
      </c>
      <c r="M862" s="6">
        <v>17466.62</v>
      </c>
      <c r="N862" s="6">
        <v>17593.87</v>
      </c>
      <c r="O862" s="6">
        <v>17369.03</v>
      </c>
      <c r="P862" s="37">
        <v>1180000</v>
      </c>
    </row>
    <row r="863" spans="2:16" ht="15" thickBot="1">
      <c r="B863" s="9">
        <f t="shared" si="83"/>
        <v>10</v>
      </c>
      <c r="C863" s="15">
        <f t="shared" si="78"/>
        <v>3</v>
      </c>
      <c r="D863" s="25">
        <f t="shared" si="79"/>
        <v>41409</v>
      </c>
      <c r="E863" s="16">
        <f t="shared" si="80"/>
        <v>-2.5393800262775157E-3</v>
      </c>
      <c r="F863" s="17">
        <f t="shared" si="81"/>
        <v>1.0263784813964616E-2</v>
      </c>
      <c r="G863" s="18">
        <f t="shared" si="82"/>
        <v>1.2803164840242132E-2</v>
      </c>
      <c r="J863" s="28"/>
      <c r="K863" s="8">
        <v>41409</v>
      </c>
      <c r="L863" s="5">
        <v>17492.97</v>
      </c>
      <c r="M863" s="6">
        <v>17271.28</v>
      </c>
      <c r="N863" s="6">
        <v>17492.97</v>
      </c>
      <c r="O863" s="6">
        <v>17207.52</v>
      </c>
      <c r="P863" s="37">
        <v>1250000</v>
      </c>
    </row>
    <row r="864" spans="2:16" ht="15" thickBot="1">
      <c r="B864" s="9">
        <f t="shared" si="83"/>
        <v>9</v>
      </c>
      <c r="C864" s="15">
        <f t="shared" si="78"/>
        <v>2</v>
      </c>
      <c r="D864" s="25">
        <f t="shared" si="79"/>
        <v>41408</v>
      </c>
      <c r="E864" s="16">
        <f t="shared" si="80"/>
        <v>6.3739261288460192E-3</v>
      </c>
      <c r="F864" s="17">
        <f t="shared" si="81"/>
        <v>8.3702549337507648E-3</v>
      </c>
      <c r="G864" s="18">
        <f t="shared" si="82"/>
        <v>1.9963288049047456E-3</v>
      </c>
      <c r="J864" s="28"/>
      <c r="K864" s="8">
        <v>41408</v>
      </c>
      <c r="L864" s="5">
        <v>17315.25</v>
      </c>
      <c r="M864" s="6">
        <v>17280.97</v>
      </c>
      <c r="N864" s="6">
        <v>17320.98</v>
      </c>
      <c r="O864" s="6">
        <v>17051.34</v>
      </c>
      <c r="P864" s="37">
        <v>827390</v>
      </c>
    </row>
    <row r="865" spans="2:16" ht="15" thickBot="1">
      <c r="B865" s="9">
        <f t="shared" si="83"/>
        <v>8</v>
      </c>
      <c r="C865" s="15">
        <f t="shared" si="78"/>
        <v>1</v>
      </c>
      <c r="D865" s="25">
        <f t="shared" si="79"/>
        <v>41407</v>
      </c>
      <c r="E865" s="16">
        <f t="shared" si="80"/>
        <v>1.0963878215901612E-3</v>
      </c>
      <c r="F865" s="17">
        <f t="shared" si="81"/>
        <v>-6.5094772457580108E-3</v>
      </c>
      <c r="G865" s="18">
        <f t="shared" si="82"/>
        <v>-7.605865067348172E-3</v>
      </c>
      <c r="J865" s="28"/>
      <c r="K865" s="8">
        <v>41407</v>
      </c>
      <c r="L865" s="7">
        <v>17171.52</v>
      </c>
      <c r="M865" s="6">
        <v>17302.98</v>
      </c>
      <c r="N865" s="6">
        <v>17376.12</v>
      </c>
      <c r="O865" s="6">
        <v>17085.25</v>
      </c>
      <c r="P865" s="37">
        <v>694890</v>
      </c>
    </row>
    <row r="866" spans="2:16" ht="15" thickBot="1">
      <c r="B866" s="9">
        <f t="shared" si="83"/>
        <v>7</v>
      </c>
      <c r="C866" s="15">
        <f t="shared" si="78"/>
        <v>5</v>
      </c>
      <c r="D866" s="25">
        <f t="shared" si="79"/>
        <v>41404</v>
      </c>
      <c r="E866" s="16">
        <f t="shared" si="80"/>
        <v>4.0332065191315269E-3</v>
      </c>
      <c r="F866" s="17">
        <f t="shared" si="81"/>
        <v>1.1316733974542803E-2</v>
      </c>
      <c r="G866" s="18">
        <f t="shared" si="82"/>
        <v>7.2835274554112761E-3</v>
      </c>
      <c r="J866" s="28"/>
      <c r="K866" s="8">
        <v>41404</v>
      </c>
      <c r="L866" s="5">
        <v>17284.03</v>
      </c>
      <c r="M866" s="6">
        <v>17159.55</v>
      </c>
      <c r="N866" s="6">
        <v>17361.11</v>
      </c>
      <c r="O866" s="6">
        <v>17157.54</v>
      </c>
      <c r="P866" s="37">
        <v>1030000</v>
      </c>
    </row>
    <row r="867" spans="2:16" ht="15" thickBot="1">
      <c r="B867" s="9">
        <f t="shared" si="83"/>
        <v>6</v>
      </c>
      <c r="C867" s="15">
        <f t="shared" si="78"/>
        <v>4</v>
      </c>
      <c r="D867" s="25">
        <f t="shared" si="79"/>
        <v>41403</v>
      </c>
      <c r="E867" s="16">
        <f t="shared" si="80"/>
        <v>-3.7674791386200779E-3</v>
      </c>
      <c r="F867" s="17">
        <f t="shared" si="81"/>
        <v>-9.5592321783632972E-3</v>
      </c>
      <c r="G867" s="18">
        <f t="shared" si="82"/>
        <v>-5.7917530397432193E-3</v>
      </c>
      <c r="J867" s="28"/>
      <c r="K867" s="8">
        <v>41403</v>
      </c>
      <c r="L867" s="7">
        <v>17090.62</v>
      </c>
      <c r="M867" s="6">
        <v>17190.560000000001</v>
      </c>
      <c r="N867" s="6">
        <v>17212.05</v>
      </c>
      <c r="O867" s="6">
        <v>17023</v>
      </c>
      <c r="P867" s="37">
        <v>976520</v>
      </c>
    </row>
    <row r="868" spans="2:16" ht="15" thickBot="1">
      <c r="B868" s="9">
        <f t="shared" si="83"/>
        <v>5</v>
      </c>
      <c r="C868" s="15">
        <f t="shared" si="78"/>
        <v>3</v>
      </c>
      <c r="D868" s="25">
        <f t="shared" si="79"/>
        <v>41402</v>
      </c>
      <c r="E868" s="16">
        <f t="shared" si="80"/>
        <v>1.0261729589116086E-3</v>
      </c>
      <c r="F868" s="17">
        <f t="shared" si="81"/>
        <v>7.8087265000843509E-3</v>
      </c>
      <c r="G868" s="18">
        <f t="shared" si="82"/>
        <v>6.7825535411727422E-3</v>
      </c>
      <c r="J868" s="28"/>
      <c r="K868" s="8">
        <v>41402</v>
      </c>
      <c r="L868" s="5">
        <v>17255.57</v>
      </c>
      <c r="M868" s="6">
        <v>17139.439999999999</v>
      </c>
      <c r="N868" s="6">
        <v>17255.57</v>
      </c>
      <c r="O868" s="6">
        <v>17072.09</v>
      </c>
      <c r="P868" s="37">
        <v>797030</v>
      </c>
    </row>
    <row r="869" spans="2:16" ht="15" thickBot="1">
      <c r="B869" s="9">
        <f t="shared" si="83"/>
        <v>4</v>
      </c>
      <c r="C869" s="15">
        <f t="shared" si="78"/>
        <v>2</v>
      </c>
      <c r="D869" s="25">
        <f t="shared" si="79"/>
        <v>41401</v>
      </c>
      <c r="E869" s="16">
        <f t="shared" si="80"/>
        <v>3.8350256982895292E-3</v>
      </c>
      <c r="F869" s="17">
        <f t="shared" si="81"/>
        <v>1.5351963086024378E-2</v>
      </c>
      <c r="G869" s="18">
        <f t="shared" si="82"/>
        <v>1.1516937387734849E-2</v>
      </c>
      <c r="J869" s="28"/>
      <c r="K869" s="8">
        <v>41401</v>
      </c>
      <c r="L869" s="5">
        <v>17121.87</v>
      </c>
      <c r="M869" s="6">
        <v>16927.66</v>
      </c>
      <c r="N869" s="6">
        <v>17164.439999999999</v>
      </c>
      <c r="O869" s="6">
        <v>16904.669999999998</v>
      </c>
      <c r="P869" s="37">
        <v>991210</v>
      </c>
    </row>
    <row r="870" spans="2:16" ht="15" thickBot="1">
      <c r="B870" s="9">
        <f t="shared" si="83"/>
        <v>3</v>
      </c>
      <c r="C870" s="15">
        <f t="shared" si="78"/>
        <v>1</v>
      </c>
      <c r="D870" s="25">
        <f t="shared" si="79"/>
        <v>41400</v>
      </c>
      <c r="E870" s="16">
        <f t="shared" si="80"/>
        <v>-4.8988641608205263E-4</v>
      </c>
      <c r="F870" s="17">
        <f t="shared" si="81"/>
        <v>-3.5042538568952342E-3</v>
      </c>
      <c r="G870" s="18">
        <f t="shared" si="82"/>
        <v>-3.0143674408131815E-3</v>
      </c>
      <c r="J870" s="28"/>
      <c r="K870" s="8">
        <v>41400</v>
      </c>
      <c r="L870" s="7">
        <v>16862.990000000002</v>
      </c>
      <c r="M870" s="6">
        <v>16914</v>
      </c>
      <c r="N870" s="6">
        <v>16920.11</v>
      </c>
      <c r="O870" s="6">
        <v>16804.75</v>
      </c>
      <c r="P870" s="37">
        <v>406600</v>
      </c>
    </row>
    <row r="871" spans="2:16" ht="15" thickBot="1">
      <c r="B871" s="9">
        <f t="shared" si="83"/>
        <v>2</v>
      </c>
      <c r="C871" s="15">
        <f t="shared" si="78"/>
        <v>5</v>
      </c>
      <c r="D871" s="25">
        <f t="shared" si="79"/>
        <v>41397</v>
      </c>
      <c r="E871" s="16">
        <f t="shared" si="80"/>
        <v>3.8123317737703832E-3</v>
      </c>
      <c r="F871" s="17">
        <f t="shared" si="81"/>
        <v>1.0389723601468503E-2</v>
      </c>
      <c r="G871" s="18">
        <f t="shared" si="82"/>
        <v>6.5773918276981203E-3</v>
      </c>
      <c r="J871" s="28"/>
      <c r="K871" s="8">
        <v>41397</v>
      </c>
      <c r="L871" s="5">
        <v>16922.29</v>
      </c>
      <c r="M871" s="6">
        <v>16812.13</v>
      </c>
      <c r="N871" s="6">
        <v>16922.29</v>
      </c>
      <c r="O871" s="6">
        <v>16657.310000000001</v>
      </c>
      <c r="P871" s="37">
        <v>663030</v>
      </c>
    </row>
    <row r="872" spans="2:16" ht="15" thickBot="1">
      <c r="B872" s="19">
        <v>1</v>
      </c>
      <c r="C872" s="15">
        <f t="shared" si="78"/>
        <v>4</v>
      </c>
      <c r="D872" s="25">
        <f t="shared" si="79"/>
        <v>41396</v>
      </c>
      <c r="E872" s="16">
        <f t="shared" si="80"/>
        <v>-4.7883843064566722E-3</v>
      </c>
      <c r="F872" s="17">
        <f t="shared" si="81"/>
        <v>-1.1557963365192991E-3</v>
      </c>
      <c r="G872" s="18">
        <f t="shared" si="82"/>
        <v>3.6325879699373731E-3</v>
      </c>
      <c r="J872" s="28"/>
      <c r="K872" s="8">
        <v>41396</v>
      </c>
      <c r="L872" s="7">
        <v>16748.28</v>
      </c>
      <c r="M872" s="6">
        <v>16687.37</v>
      </c>
      <c r="N872" s="6">
        <v>16935.96</v>
      </c>
      <c r="O872" s="6">
        <v>16447.72</v>
      </c>
      <c r="P872" s="37">
        <v>945400</v>
      </c>
    </row>
    <row r="873" spans="2:16" ht="15" thickBot="1">
      <c r="B873" s="9">
        <f t="shared" si="83"/>
        <v>21</v>
      </c>
      <c r="C873" s="15">
        <f t="shared" si="78"/>
        <v>2</v>
      </c>
      <c r="D873" s="25">
        <f t="shared" si="79"/>
        <v>41394</v>
      </c>
      <c r="E873" s="16">
        <f t="shared" si="80"/>
        <v>6.1294720278233239E-3</v>
      </c>
      <c r="F873" s="17">
        <f t="shared" si="81"/>
        <v>-9.5701749826341276E-3</v>
      </c>
      <c r="G873" s="18">
        <f t="shared" si="82"/>
        <v>-1.5699647010457451E-2</v>
      </c>
      <c r="J873" s="28"/>
      <c r="K873" s="8">
        <v>41394</v>
      </c>
      <c r="L873" s="7">
        <v>16767.66</v>
      </c>
      <c r="M873" s="6">
        <v>17033.45</v>
      </c>
      <c r="N873" s="6">
        <v>17033.45</v>
      </c>
      <c r="O873" s="6">
        <v>16762.55</v>
      </c>
      <c r="P873" s="37">
        <v>878350</v>
      </c>
    </row>
    <row r="874" spans="2:16" ht="15" thickBot="1">
      <c r="B874" s="9">
        <f t="shared" si="83"/>
        <v>20</v>
      </c>
      <c r="C874" s="15">
        <f t="shared" si="78"/>
        <v>1</v>
      </c>
      <c r="D874" s="25">
        <f t="shared" si="79"/>
        <v>41393</v>
      </c>
      <c r="E874" s="16">
        <f t="shared" si="80"/>
        <v>6.0029278157587296E-3</v>
      </c>
      <c r="F874" s="17">
        <f t="shared" si="81"/>
        <v>2.1999667979656135E-2</v>
      </c>
      <c r="G874" s="18">
        <f t="shared" si="82"/>
        <v>1.5996740163897405E-2</v>
      </c>
      <c r="J874" s="28"/>
      <c r="K874" s="8">
        <v>41393</v>
      </c>
      <c r="L874" s="5">
        <v>16929.68</v>
      </c>
      <c r="M874" s="6">
        <v>16664.689999999999</v>
      </c>
      <c r="N874" s="6">
        <v>16942.330000000002</v>
      </c>
      <c r="O874" s="6">
        <v>16662.7</v>
      </c>
      <c r="P874" s="37">
        <v>982530</v>
      </c>
    </row>
    <row r="875" spans="2:16" ht="15" thickBot="1">
      <c r="B875" s="9">
        <f t="shared" si="83"/>
        <v>19</v>
      </c>
      <c r="C875" s="15">
        <f t="shared" si="78"/>
        <v>5</v>
      </c>
      <c r="D875" s="25">
        <f t="shared" si="79"/>
        <v>41390</v>
      </c>
      <c r="E875" s="16">
        <f t="shared" si="80"/>
        <v>-1.7699965464947898E-3</v>
      </c>
      <c r="F875" s="17">
        <f t="shared" si="81"/>
        <v>-5.0751512785477404E-3</v>
      </c>
      <c r="G875" s="18">
        <f t="shared" si="82"/>
        <v>-3.3051547320529506E-3</v>
      </c>
      <c r="J875" s="28"/>
      <c r="K875" s="8">
        <v>41390</v>
      </c>
      <c r="L875" s="7">
        <v>16565.25</v>
      </c>
      <c r="M875" s="6">
        <v>16620.28</v>
      </c>
      <c r="N875" s="6">
        <v>16643.5</v>
      </c>
      <c r="O875" s="6">
        <v>16472.77</v>
      </c>
      <c r="P875" s="37">
        <v>619430</v>
      </c>
    </row>
    <row r="876" spans="2:16" ht="15" thickBot="1">
      <c r="B876" s="9">
        <f t="shared" si="83"/>
        <v>18</v>
      </c>
      <c r="C876" s="15">
        <f t="shared" si="78"/>
        <v>4</v>
      </c>
      <c r="D876" s="25">
        <f t="shared" si="79"/>
        <v>41389</v>
      </c>
      <c r="E876" s="16">
        <f t="shared" si="80"/>
        <v>-7.534671260722714E-4</v>
      </c>
      <c r="F876" s="17">
        <f t="shared" si="81"/>
        <v>5.211480955333414E-3</v>
      </c>
      <c r="G876" s="18">
        <f t="shared" si="82"/>
        <v>5.9649480814056854E-3</v>
      </c>
      <c r="J876" s="28"/>
      <c r="K876" s="8">
        <v>41389</v>
      </c>
      <c r="L876" s="5">
        <v>16649.75</v>
      </c>
      <c r="M876" s="6">
        <v>16550.95</v>
      </c>
      <c r="N876" s="6">
        <v>16676.97</v>
      </c>
      <c r="O876" s="6">
        <v>16469.66</v>
      </c>
      <c r="P876" s="37">
        <v>528330</v>
      </c>
    </row>
    <row r="877" spans="2:16" ht="15" thickBot="1">
      <c r="B877" s="9">
        <f t="shared" si="83"/>
        <v>17</v>
      </c>
      <c r="C877" s="15">
        <f t="shared" si="78"/>
        <v>3</v>
      </c>
      <c r="D877" s="25">
        <f t="shared" si="79"/>
        <v>41388</v>
      </c>
      <c r="E877" s="16">
        <f t="shared" si="80"/>
        <v>2.322511319967635E-4</v>
      </c>
      <c r="F877" s="17">
        <f t="shared" si="81"/>
        <v>4.4061011098934788E-3</v>
      </c>
      <c r="G877" s="18">
        <f t="shared" si="82"/>
        <v>4.1738499778967153E-3</v>
      </c>
      <c r="J877" s="28"/>
      <c r="K877" s="8">
        <v>41388</v>
      </c>
      <c r="L877" s="5">
        <v>16563.43</v>
      </c>
      <c r="M877" s="6">
        <v>16494.599999999999</v>
      </c>
      <c r="N877" s="6">
        <v>16618.22</v>
      </c>
      <c r="O877" s="6">
        <v>16290.22</v>
      </c>
      <c r="P877" s="37">
        <v>1070000</v>
      </c>
    </row>
    <row r="878" spans="2:16" ht="15" thickBot="1">
      <c r="B878" s="9">
        <f t="shared" si="83"/>
        <v>16</v>
      </c>
      <c r="C878" s="15">
        <f t="shared" si="78"/>
        <v>2</v>
      </c>
      <c r="D878" s="25">
        <f t="shared" si="79"/>
        <v>41387</v>
      </c>
      <c r="E878" s="16">
        <f t="shared" si="80"/>
        <v>7.2713836413229593E-4</v>
      </c>
      <c r="F878" s="17">
        <f t="shared" si="81"/>
        <v>2.9276525414578147E-2</v>
      </c>
      <c r="G878" s="18">
        <f t="shared" si="82"/>
        <v>2.8549387050445851E-2</v>
      </c>
      <c r="J878" s="28"/>
      <c r="K878" s="8">
        <v>41387</v>
      </c>
      <c r="L878" s="5">
        <v>16490.77</v>
      </c>
      <c r="M878" s="6">
        <v>16033.36</v>
      </c>
      <c r="N878" s="6">
        <v>16490.77</v>
      </c>
      <c r="O878" s="6">
        <v>16031.1</v>
      </c>
      <c r="P878" s="37">
        <v>1130000</v>
      </c>
    </row>
    <row r="879" spans="2:16" ht="15" thickBot="1">
      <c r="B879" s="9">
        <f t="shared" si="83"/>
        <v>15</v>
      </c>
      <c r="C879" s="15">
        <f t="shared" si="78"/>
        <v>1</v>
      </c>
      <c r="D879" s="25">
        <f t="shared" si="79"/>
        <v>41386</v>
      </c>
      <c r="E879" s="16">
        <f t="shared" si="80"/>
        <v>1.3627498131437488E-2</v>
      </c>
      <c r="F879" s="17">
        <f t="shared" si="81"/>
        <v>1.6555652702467727E-2</v>
      </c>
      <c r="G879" s="18">
        <f t="shared" si="82"/>
        <v>2.9281545710302392E-3</v>
      </c>
      <c r="J879" s="28"/>
      <c r="K879" s="8">
        <v>41386</v>
      </c>
      <c r="L879" s="5">
        <v>16021.71</v>
      </c>
      <c r="M879" s="6">
        <v>15975.56</v>
      </c>
      <c r="N879" s="6">
        <v>16128</v>
      </c>
      <c r="O879" s="6">
        <v>15887.95</v>
      </c>
      <c r="P879" s="37">
        <v>922200</v>
      </c>
    </row>
    <row r="880" spans="2:16" ht="15" thickBot="1">
      <c r="B880" s="9">
        <f t="shared" si="83"/>
        <v>14</v>
      </c>
      <c r="C880" s="15">
        <f t="shared" si="78"/>
        <v>5</v>
      </c>
      <c r="D880" s="25">
        <f t="shared" si="79"/>
        <v>41383</v>
      </c>
      <c r="E880" s="16">
        <f t="shared" si="80"/>
        <v>1.1065491170862085E-2</v>
      </c>
      <c r="F880" s="17">
        <f t="shared" si="81"/>
        <v>1.8101412352008017E-2</v>
      </c>
      <c r="G880" s="18">
        <f t="shared" si="82"/>
        <v>7.0359211811459321E-3</v>
      </c>
      <c r="J880" s="28"/>
      <c r="K880" s="8">
        <v>41383</v>
      </c>
      <c r="L880" s="5">
        <v>15760.78</v>
      </c>
      <c r="M880" s="6">
        <v>15651.86</v>
      </c>
      <c r="N880" s="6">
        <v>15841.5</v>
      </c>
      <c r="O880" s="6">
        <v>15548</v>
      </c>
      <c r="P880" s="37">
        <v>1020000</v>
      </c>
    </row>
    <row r="881" spans="2:16" ht="15" thickBot="1">
      <c r="B881" s="9">
        <f t="shared" si="83"/>
        <v>13</v>
      </c>
      <c r="C881" s="15">
        <f t="shared" si="78"/>
        <v>4</v>
      </c>
      <c r="D881" s="25">
        <f t="shared" si="79"/>
        <v>41382</v>
      </c>
      <c r="E881" s="16">
        <f t="shared" si="80"/>
        <v>6.0232348918600742E-3</v>
      </c>
      <c r="F881" s="17">
        <f t="shared" si="81"/>
        <v>6.2923498546518797E-3</v>
      </c>
      <c r="G881" s="18">
        <f t="shared" si="82"/>
        <v>2.6911496279180547E-4</v>
      </c>
      <c r="J881" s="28"/>
      <c r="K881" s="8">
        <v>41382</v>
      </c>
      <c r="L881" s="5">
        <v>15480.56</v>
      </c>
      <c r="M881" s="6">
        <v>15476.42</v>
      </c>
      <c r="N881" s="6">
        <v>15628.34</v>
      </c>
      <c r="O881" s="6">
        <v>15369.48</v>
      </c>
      <c r="P881" s="37">
        <v>849430</v>
      </c>
    </row>
    <row r="882" spans="2:16" ht="15" thickBot="1">
      <c r="B882" s="9">
        <f t="shared" si="83"/>
        <v>12</v>
      </c>
      <c r="C882" s="15">
        <f t="shared" si="78"/>
        <v>3</v>
      </c>
      <c r="D882" s="25">
        <f t="shared" si="79"/>
        <v>41381</v>
      </c>
      <c r="E882" s="16">
        <f t="shared" si="80"/>
        <v>7.1460576937933951E-3</v>
      </c>
      <c r="F882" s="17">
        <f t="shared" si="81"/>
        <v>-9.6104819146799469E-3</v>
      </c>
      <c r="G882" s="18">
        <f t="shared" si="82"/>
        <v>-1.6756539608473342E-2</v>
      </c>
      <c r="J882" s="28"/>
      <c r="K882" s="8">
        <v>41381</v>
      </c>
      <c r="L882" s="7">
        <v>15383.76</v>
      </c>
      <c r="M882" s="6">
        <v>15644.04</v>
      </c>
      <c r="N882" s="6">
        <v>15647.8</v>
      </c>
      <c r="O882" s="6">
        <v>15290</v>
      </c>
      <c r="P882" s="37">
        <v>825940</v>
      </c>
    </row>
    <row r="883" spans="2:16" ht="15" thickBot="1">
      <c r="B883" s="9">
        <f t="shared" si="83"/>
        <v>11</v>
      </c>
      <c r="C883" s="15">
        <f t="shared" si="78"/>
        <v>2</v>
      </c>
      <c r="D883" s="25">
        <f t="shared" si="79"/>
        <v>41380</v>
      </c>
      <c r="E883" s="16">
        <f t="shared" si="80"/>
        <v>-5.0246497685385583E-3</v>
      </c>
      <c r="F883" s="17">
        <f t="shared" si="81"/>
        <v>-6.1366886451105218E-3</v>
      </c>
      <c r="G883" s="18">
        <f t="shared" si="82"/>
        <v>-1.1120388765719635E-3</v>
      </c>
      <c r="J883" s="28"/>
      <c r="K883" s="8">
        <v>41380</v>
      </c>
      <c r="L883" s="7">
        <v>15533.04</v>
      </c>
      <c r="M883" s="6">
        <v>15550.42</v>
      </c>
      <c r="N883" s="6">
        <v>15720.06</v>
      </c>
      <c r="O883" s="6">
        <v>15479.03</v>
      </c>
      <c r="P883" s="37">
        <v>817820</v>
      </c>
    </row>
    <row r="884" spans="2:16" ht="15" thickBot="1">
      <c r="B884" s="9">
        <f t="shared" si="83"/>
        <v>10</v>
      </c>
      <c r="C884" s="15">
        <f t="shared" si="78"/>
        <v>1</v>
      </c>
      <c r="D884" s="25">
        <f t="shared" si="79"/>
        <v>41379</v>
      </c>
      <c r="E884" s="16">
        <f t="shared" si="80"/>
        <v>-9.7337909566996839E-4</v>
      </c>
      <c r="F884" s="17">
        <f t="shared" si="81"/>
        <v>-9.5772645005601786E-3</v>
      </c>
      <c r="G884" s="18">
        <f t="shared" si="82"/>
        <v>-8.6038854048902103E-3</v>
      </c>
      <c r="J884" s="28"/>
      <c r="K884" s="8">
        <v>41379</v>
      </c>
      <c r="L884" s="7">
        <v>15628.95</v>
      </c>
      <c r="M884" s="6">
        <v>15764.72</v>
      </c>
      <c r="N884" s="6">
        <v>15863.75</v>
      </c>
      <c r="O884" s="6">
        <v>15597.84</v>
      </c>
      <c r="P884" s="37">
        <v>675480</v>
      </c>
    </row>
    <row r="885" spans="2:16" ht="15" thickBot="1">
      <c r="B885" s="9">
        <f t="shared" si="83"/>
        <v>9</v>
      </c>
      <c r="C885" s="15">
        <f t="shared" si="78"/>
        <v>5</v>
      </c>
      <c r="D885" s="25">
        <f t="shared" si="79"/>
        <v>41376</v>
      </c>
      <c r="E885" s="16">
        <f t="shared" si="80"/>
        <v>-4.1938941046419931E-3</v>
      </c>
      <c r="F885" s="17">
        <f t="shared" si="81"/>
        <v>-1.5032229754739279E-2</v>
      </c>
      <c r="G885" s="18">
        <f t="shared" si="82"/>
        <v>-1.0838335650097286E-2</v>
      </c>
      <c r="J885" s="28"/>
      <c r="K885" s="8">
        <v>41376</v>
      </c>
      <c r="L885" s="7">
        <v>15780.08</v>
      </c>
      <c r="M885" s="6">
        <v>15953.72</v>
      </c>
      <c r="N885" s="6">
        <v>15986.37</v>
      </c>
      <c r="O885" s="6">
        <v>15748.29</v>
      </c>
      <c r="P885" s="37">
        <v>949870</v>
      </c>
    </row>
    <row r="886" spans="2:16" ht="15" thickBot="1">
      <c r="B886" s="9">
        <f t="shared" si="83"/>
        <v>8</v>
      </c>
      <c r="C886" s="15">
        <f t="shared" si="78"/>
        <v>4</v>
      </c>
      <c r="D886" s="25">
        <f t="shared" si="79"/>
        <v>41375</v>
      </c>
      <c r="E886" s="16">
        <f t="shared" si="80"/>
        <v>-1.383043373445525E-3</v>
      </c>
      <c r="F886" s="17">
        <f t="shared" si="81"/>
        <v>5.7927104887800507E-3</v>
      </c>
      <c r="G886" s="18">
        <f t="shared" si="82"/>
        <v>7.1757538622255757E-3</v>
      </c>
      <c r="J886" s="28"/>
      <c r="K886" s="8">
        <v>41375</v>
      </c>
      <c r="L886" s="5">
        <v>16020.91</v>
      </c>
      <c r="M886" s="6">
        <v>15906.61</v>
      </c>
      <c r="N886" s="6">
        <v>16054.21</v>
      </c>
      <c r="O886" s="6">
        <v>15888.03</v>
      </c>
      <c r="P886" s="37">
        <v>1060000</v>
      </c>
    </row>
    <row r="887" spans="2:16" ht="15" thickBot="1">
      <c r="B887" s="9">
        <f t="shared" si="83"/>
        <v>7</v>
      </c>
      <c r="C887" s="15">
        <f t="shared" si="78"/>
        <v>3</v>
      </c>
      <c r="D887" s="25">
        <f t="shared" si="79"/>
        <v>41374</v>
      </c>
      <c r="E887" s="16">
        <f t="shared" si="80"/>
        <v>1.9849611980251591E-3</v>
      </c>
      <c r="F887" s="17">
        <f t="shared" si="81"/>
        <v>3.1910324324779582E-2</v>
      </c>
      <c r="G887" s="18">
        <f t="shared" si="82"/>
        <v>2.9925363126754423E-2</v>
      </c>
      <c r="J887" s="28"/>
      <c r="K887" s="8">
        <v>41374</v>
      </c>
      <c r="L887" s="5">
        <v>15928.64</v>
      </c>
      <c r="M887" s="6">
        <v>15466.71</v>
      </c>
      <c r="N887" s="6">
        <v>15942.31</v>
      </c>
      <c r="O887" s="6">
        <v>15460.27</v>
      </c>
      <c r="P887" s="37">
        <v>1090000</v>
      </c>
    </row>
    <row r="888" spans="2:16" ht="15" thickBot="1">
      <c r="B888" s="9">
        <f t="shared" si="83"/>
        <v>6</v>
      </c>
      <c r="C888" s="15">
        <f t="shared" si="78"/>
        <v>2</v>
      </c>
      <c r="D888" s="25">
        <f t="shared" si="79"/>
        <v>41373</v>
      </c>
      <c r="E888" s="16">
        <f t="shared" si="80"/>
        <v>7.2575719705394448E-3</v>
      </c>
      <c r="F888" s="17">
        <f t="shared" si="81"/>
        <v>1.2640232914069571E-2</v>
      </c>
      <c r="G888" s="18">
        <f t="shared" si="82"/>
        <v>5.3826609435301265E-3</v>
      </c>
      <c r="J888" s="28"/>
      <c r="K888" s="8">
        <v>41373</v>
      </c>
      <c r="L888" s="5">
        <v>15436.07</v>
      </c>
      <c r="M888" s="6">
        <v>15354.02</v>
      </c>
      <c r="N888" s="6">
        <v>15441.78</v>
      </c>
      <c r="O888" s="6">
        <v>15310.45</v>
      </c>
      <c r="P888" s="37">
        <v>783220</v>
      </c>
    </row>
    <row r="889" spans="2:16" ht="15" thickBot="1">
      <c r="B889" s="9">
        <f t="shared" si="83"/>
        <v>5</v>
      </c>
      <c r="C889" s="15">
        <f t="shared" si="78"/>
        <v>1</v>
      </c>
      <c r="D889" s="25">
        <f t="shared" si="79"/>
        <v>41372</v>
      </c>
      <c r="E889" s="16">
        <f t="shared" si="80"/>
        <v>3.8320256097865713E-3</v>
      </c>
      <c r="F889" s="17">
        <f t="shared" si="81"/>
        <v>-4.6097091096508613E-4</v>
      </c>
      <c r="G889" s="18">
        <f t="shared" si="82"/>
        <v>-4.2929965207516574E-3</v>
      </c>
      <c r="J889" s="28"/>
      <c r="K889" s="8">
        <v>41372</v>
      </c>
      <c r="L889" s="7">
        <v>15243.39</v>
      </c>
      <c r="M889" s="6">
        <v>15308.86</v>
      </c>
      <c r="N889" s="6">
        <v>15451.55</v>
      </c>
      <c r="O889" s="6">
        <v>15236.81</v>
      </c>
      <c r="P889" s="37">
        <v>605730</v>
      </c>
    </row>
    <row r="890" spans="2:16" ht="15" thickBot="1">
      <c r="B890" s="9">
        <f t="shared" si="83"/>
        <v>4</v>
      </c>
      <c r="C890" s="15">
        <f t="shared" si="78"/>
        <v>5</v>
      </c>
      <c r="D890" s="25">
        <f t="shared" si="79"/>
        <v>41369</v>
      </c>
      <c r="E890" s="16">
        <f t="shared" si="80"/>
        <v>3.3278298431702602E-3</v>
      </c>
      <c r="F890" s="17">
        <f t="shared" si="81"/>
        <v>6.3613483418920591E-3</v>
      </c>
      <c r="G890" s="18">
        <f t="shared" si="82"/>
        <v>3.0335184987217989E-3</v>
      </c>
      <c r="J890" s="28"/>
      <c r="K890" s="8">
        <v>41369</v>
      </c>
      <c r="L890" s="5">
        <v>15250.42</v>
      </c>
      <c r="M890" s="6">
        <v>15204.45</v>
      </c>
      <c r="N890" s="6">
        <v>15292.69</v>
      </c>
      <c r="O890" s="6">
        <v>15061.59</v>
      </c>
      <c r="P890" s="37">
        <v>931630</v>
      </c>
    </row>
    <row r="891" spans="2:16" ht="15" thickBot="1">
      <c r="B891" s="9">
        <f t="shared" si="83"/>
        <v>3</v>
      </c>
      <c r="C891" s="15">
        <f t="shared" si="78"/>
        <v>4</v>
      </c>
      <c r="D891" s="25">
        <f t="shared" si="79"/>
        <v>41368</v>
      </c>
      <c r="E891" s="16">
        <f t="shared" si="80"/>
        <v>5.8143589271264506E-3</v>
      </c>
      <c r="F891" s="17">
        <f t="shared" si="81"/>
        <v>-3.044676749800912E-3</v>
      </c>
      <c r="G891" s="18">
        <f t="shared" si="82"/>
        <v>-8.8590356769273626E-3</v>
      </c>
      <c r="J891" s="28"/>
      <c r="K891" s="8">
        <v>41368</v>
      </c>
      <c r="L891" s="7">
        <v>15154.02</v>
      </c>
      <c r="M891" s="6">
        <v>15288.68</v>
      </c>
      <c r="N891" s="6">
        <v>15452.77</v>
      </c>
      <c r="O891" s="6">
        <v>15078.69</v>
      </c>
      <c r="P891" s="37">
        <v>1050000</v>
      </c>
    </row>
    <row r="892" spans="2:16" ht="15" thickBot="1">
      <c r="B892" s="9">
        <f t="shared" si="83"/>
        <v>2</v>
      </c>
      <c r="C892" s="15">
        <f t="shared" ref="C892:C955" si="84">WEEKDAY(D892,2)</f>
        <v>3</v>
      </c>
      <c r="D892" s="25">
        <f t="shared" ref="D892:D955" si="85">K892</f>
        <v>41367</v>
      </c>
      <c r="E892" s="16">
        <f t="shared" ref="E892:E954" si="86">M892/L893-1</f>
        <v>-4.5367961360409659E-3</v>
      </c>
      <c r="F892" s="17">
        <f t="shared" ref="F892:F954" si="87">L892/L893-1</f>
        <v>-2.2804841906444495E-2</v>
      </c>
      <c r="G892" s="18">
        <f t="shared" ref="G892:G954" si="88">F892-E892</f>
        <v>-1.8268045770403529E-2</v>
      </c>
      <c r="J892" s="28"/>
      <c r="K892" s="8">
        <v>41367</v>
      </c>
      <c r="L892" s="7">
        <v>15200.3</v>
      </c>
      <c r="M892" s="6">
        <v>15484.46</v>
      </c>
      <c r="N892" s="6">
        <v>15504.12</v>
      </c>
      <c r="O892" s="6">
        <v>15200.3</v>
      </c>
      <c r="P892" s="37">
        <v>735070</v>
      </c>
    </row>
    <row r="893" spans="2:16" ht="15" thickBot="1">
      <c r="B893" s="19">
        <v>1</v>
      </c>
      <c r="C893" s="15">
        <f t="shared" si="84"/>
        <v>2</v>
      </c>
      <c r="D893" s="25">
        <f t="shared" si="85"/>
        <v>41366</v>
      </c>
      <c r="E893" s="16">
        <f t="shared" si="86"/>
        <v>-2.0125538506471363E-3</v>
      </c>
      <c r="F893" s="17">
        <f t="shared" si="87"/>
        <v>1.4102219741934263E-2</v>
      </c>
      <c r="G893" s="18">
        <f t="shared" si="88"/>
        <v>1.61147735925814E-2</v>
      </c>
      <c r="J893" s="28"/>
      <c r="K893" s="8">
        <v>41366</v>
      </c>
      <c r="L893" s="5">
        <v>15555.03</v>
      </c>
      <c r="M893" s="6">
        <v>15307.85</v>
      </c>
      <c r="N893" s="6">
        <v>15555.03</v>
      </c>
      <c r="O893" s="6">
        <v>15223.9</v>
      </c>
      <c r="P893" s="37">
        <v>978220</v>
      </c>
    </row>
    <row r="894" spans="2:16" ht="15" thickBot="1">
      <c r="B894" s="9">
        <f t="shared" si="83"/>
        <v>20</v>
      </c>
      <c r="C894" s="15">
        <f t="shared" si="84"/>
        <v>4</v>
      </c>
      <c r="D894" s="25">
        <f t="shared" si="85"/>
        <v>41361</v>
      </c>
      <c r="E894" s="16">
        <f t="shared" si="86"/>
        <v>-3.0226946335935034E-3</v>
      </c>
      <c r="F894" s="17">
        <f t="shared" si="87"/>
        <v>-9.8542059483464062E-4</v>
      </c>
      <c r="G894" s="18">
        <f t="shared" si="88"/>
        <v>2.0372740387588628E-3</v>
      </c>
      <c r="J894" s="28"/>
      <c r="K894" s="8">
        <v>41361</v>
      </c>
      <c r="L894" s="7">
        <v>15338.72</v>
      </c>
      <c r="M894" s="6">
        <v>15307.44</v>
      </c>
      <c r="N894" s="6">
        <v>15545.7</v>
      </c>
      <c r="O894" s="6">
        <v>15243.45</v>
      </c>
      <c r="P894" s="37">
        <v>852880</v>
      </c>
    </row>
    <row r="895" spans="2:16" ht="15" thickBot="1">
      <c r="B895" s="9">
        <f t="shared" si="83"/>
        <v>19</v>
      </c>
      <c r="C895" s="15">
        <f t="shared" si="84"/>
        <v>3</v>
      </c>
      <c r="D895" s="25">
        <f t="shared" si="85"/>
        <v>41360</v>
      </c>
      <c r="E895" s="16">
        <f t="shared" si="86"/>
        <v>1.2003159541351671E-4</v>
      </c>
      <c r="F895" s="17">
        <f t="shared" si="87"/>
        <v>-9.1682197636538953E-3</v>
      </c>
      <c r="G895" s="18">
        <f t="shared" si="88"/>
        <v>-9.2882513590674121E-3</v>
      </c>
      <c r="J895" s="28"/>
      <c r="K895" s="8">
        <v>41360</v>
      </c>
      <c r="L895" s="7">
        <v>15353.85</v>
      </c>
      <c r="M895" s="6">
        <v>15497.78</v>
      </c>
      <c r="N895" s="6">
        <v>15510.72</v>
      </c>
      <c r="O895" s="6">
        <v>15197.06</v>
      </c>
      <c r="P895" s="37">
        <v>1210000</v>
      </c>
    </row>
    <row r="896" spans="2:16" ht="15" thickBot="1">
      <c r="B896" s="9">
        <f t="shared" si="83"/>
        <v>18</v>
      </c>
      <c r="C896" s="15">
        <f t="shared" si="84"/>
        <v>2</v>
      </c>
      <c r="D896" s="25">
        <f t="shared" si="85"/>
        <v>41359</v>
      </c>
      <c r="E896" s="16">
        <f t="shared" si="86"/>
        <v>5.3226849804017817E-3</v>
      </c>
      <c r="F896" s="17">
        <f t="shared" si="87"/>
        <v>-9.4884034885416302E-3</v>
      </c>
      <c r="G896" s="18">
        <f t="shared" si="88"/>
        <v>-1.4811088468943412E-2</v>
      </c>
      <c r="J896" s="28"/>
      <c r="K896" s="8">
        <v>41359</v>
      </c>
      <c r="L896" s="7">
        <v>15495.92</v>
      </c>
      <c r="M896" s="6">
        <v>15727.63</v>
      </c>
      <c r="N896" s="6">
        <v>15757.63</v>
      </c>
      <c r="O896" s="6">
        <v>15417.77</v>
      </c>
      <c r="P896" s="37">
        <v>1100000</v>
      </c>
    </row>
    <row r="897" spans="2:16" ht="15" thickBot="1">
      <c r="B897" s="9">
        <f t="shared" si="83"/>
        <v>17</v>
      </c>
      <c r="C897" s="15">
        <f t="shared" si="84"/>
        <v>1</v>
      </c>
      <c r="D897" s="25">
        <f t="shared" si="85"/>
        <v>41358</v>
      </c>
      <c r="E897" s="16">
        <f t="shared" si="86"/>
        <v>1.0369255947614064E-2</v>
      </c>
      <c r="F897" s="17">
        <f t="shared" si="87"/>
        <v>-2.5000763453452035E-2</v>
      </c>
      <c r="G897" s="18">
        <f t="shared" si="88"/>
        <v>-3.53700194010661E-2</v>
      </c>
      <c r="J897" s="28"/>
      <c r="K897" s="8">
        <v>41358</v>
      </c>
      <c r="L897" s="7">
        <v>15644.36</v>
      </c>
      <c r="M897" s="6">
        <v>16211.89</v>
      </c>
      <c r="N897" s="6">
        <v>16218.35</v>
      </c>
      <c r="O897" s="6">
        <v>15575.18</v>
      </c>
      <c r="P897" s="37">
        <v>1050000</v>
      </c>
    </row>
    <row r="898" spans="2:16" ht="15" thickBot="1">
      <c r="B898" s="9">
        <f t="shared" si="83"/>
        <v>16</v>
      </c>
      <c r="C898" s="15">
        <f t="shared" si="84"/>
        <v>5</v>
      </c>
      <c r="D898" s="25">
        <f t="shared" si="85"/>
        <v>41355</v>
      </c>
      <c r="E898" s="16">
        <f t="shared" si="86"/>
        <v>-2.8294445465891771E-3</v>
      </c>
      <c r="F898" s="17">
        <f t="shared" si="87"/>
        <v>6.8724942723985549E-3</v>
      </c>
      <c r="G898" s="18">
        <f t="shared" si="88"/>
        <v>9.701938818987732E-3</v>
      </c>
      <c r="J898" s="28"/>
      <c r="K898" s="8">
        <v>41355</v>
      </c>
      <c r="L898" s="5">
        <v>16045.51</v>
      </c>
      <c r="M898" s="6">
        <v>15890.9</v>
      </c>
      <c r="N898" s="6">
        <v>16192.24</v>
      </c>
      <c r="O898" s="6">
        <v>15833.41</v>
      </c>
      <c r="P898" s="37">
        <v>730780</v>
      </c>
    </row>
    <row r="899" spans="2:16" ht="15" thickBot="1">
      <c r="B899" s="9">
        <f t="shared" si="83"/>
        <v>15</v>
      </c>
      <c r="C899" s="15">
        <f t="shared" si="84"/>
        <v>4</v>
      </c>
      <c r="D899" s="25">
        <f t="shared" si="85"/>
        <v>41354</v>
      </c>
      <c r="E899" s="16">
        <f t="shared" si="86"/>
        <v>-1.8887386223009894E-3</v>
      </c>
      <c r="F899" s="17">
        <f t="shared" si="87"/>
        <v>-4.9943868561274085E-3</v>
      </c>
      <c r="G899" s="18">
        <f t="shared" si="88"/>
        <v>-3.1056482338264191E-3</v>
      </c>
      <c r="J899" s="28"/>
      <c r="K899" s="8">
        <v>41354</v>
      </c>
      <c r="L899" s="7">
        <v>15935.99</v>
      </c>
      <c r="M899" s="6">
        <v>15985.73</v>
      </c>
      <c r="N899" s="6">
        <v>16042.28</v>
      </c>
      <c r="O899" s="6">
        <v>15848.51</v>
      </c>
      <c r="P899" s="37">
        <v>752660</v>
      </c>
    </row>
    <row r="900" spans="2:16" ht="15" thickBot="1">
      <c r="B900" s="9">
        <f t="shared" si="83"/>
        <v>14</v>
      </c>
      <c r="C900" s="15">
        <f t="shared" si="84"/>
        <v>3</v>
      </c>
      <c r="D900" s="25">
        <f t="shared" si="85"/>
        <v>41353</v>
      </c>
      <c r="E900" s="16">
        <f t="shared" si="86"/>
        <v>8.2013661285875727E-3</v>
      </c>
      <c r="F900" s="17">
        <f t="shared" si="87"/>
        <v>2.2042607283977E-2</v>
      </c>
      <c r="G900" s="18">
        <f t="shared" si="88"/>
        <v>1.3841241155389428E-2</v>
      </c>
      <c r="J900" s="28"/>
      <c r="K900" s="8">
        <v>41353</v>
      </c>
      <c r="L900" s="5">
        <v>16015.98</v>
      </c>
      <c r="M900" s="6">
        <v>15799.08</v>
      </c>
      <c r="N900" s="6">
        <v>16015.98</v>
      </c>
      <c r="O900" s="6">
        <v>15717.37</v>
      </c>
      <c r="P900" s="37">
        <v>877370</v>
      </c>
    </row>
    <row r="901" spans="2:16" ht="15" thickBot="1">
      <c r="B901" s="9">
        <f t="shared" si="83"/>
        <v>13</v>
      </c>
      <c r="C901" s="15">
        <f t="shared" si="84"/>
        <v>2</v>
      </c>
      <c r="D901" s="25">
        <f t="shared" si="85"/>
        <v>41352</v>
      </c>
      <c r="E901" s="16">
        <f t="shared" si="86"/>
        <v>-2.4867920570847968E-4</v>
      </c>
      <c r="F901" s="17">
        <f t="shared" si="87"/>
        <v>-1.5923632876646887E-2</v>
      </c>
      <c r="G901" s="18">
        <f t="shared" si="88"/>
        <v>-1.5674953670938407E-2</v>
      </c>
      <c r="J901" s="28"/>
      <c r="K901" s="8">
        <v>41352</v>
      </c>
      <c r="L901" s="7">
        <v>15670.56</v>
      </c>
      <c r="M901" s="6">
        <v>15920.17</v>
      </c>
      <c r="N901" s="6">
        <v>15964.5</v>
      </c>
      <c r="O901" s="6">
        <v>15603.5</v>
      </c>
      <c r="P901" s="37">
        <v>870930</v>
      </c>
    </row>
    <row r="902" spans="2:16" ht="15" thickBot="1">
      <c r="B902" s="9">
        <f t="shared" ref="B902:B953" si="89">B903+1</f>
        <v>12</v>
      </c>
      <c r="C902" s="15">
        <f t="shared" si="84"/>
        <v>1</v>
      </c>
      <c r="D902" s="25">
        <f t="shared" si="85"/>
        <v>41351</v>
      </c>
      <c r="E902" s="16">
        <f t="shared" si="86"/>
        <v>-2.7519200057281035E-2</v>
      </c>
      <c r="F902" s="17">
        <f t="shared" si="87"/>
        <v>-8.5311450300881164E-3</v>
      </c>
      <c r="G902" s="18">
        <f t="shared" si="88"/>
        <v>1.8988055027192918E-2</v>
      </c>
      <c r="J902" s="28"/>
      <c r="K902" s="8">
        <v>41351</v>
      </c>
      <c r="L902" s="7">
        <v>15924.13</v>
      </c>
      <c r="M902" s="6">
        <v>15619.16</v>
      </c>
      <c r="N902" s="6">
        <v>15968.45</v>
      </c>
      <c r="O902" s="6">
        <v>15591.22</v>
      </c>
      <c r="P902" s="37">
        <v>876100</v>
      </c>
    </row>
    <row r="903" spans="2:16" ht="15" thickBot="1">
      <c r="B903" s="9">
        <f t="shared" si="89"/>
        <v>11</v>
      </c>
      <c r="C903" s="15">
        <f t="shared" si="84"/>
        <v>5</v>
      </c>
      <c r="D903" s="25">
        <f t="shared" si="85"/>
        <v>41348</v>
      </c>
      <c r="E903" s="16">
        <f t="shared" si="86"/>
        <v>2.8200272145955108E-3</v>
      </c>
      <c r="F903" s="17">
        <f t="shared" si="87"/>
        <v>-4.3332579094355061E-3</v>
      </c>
      <c r="G903" s="18">
        <f t="shared" si="88"/>
        <v>-7.1532851240310169E-3</v>
      </c>
      <c r="J903" s="28"/>
      <c r="K903" s="8">
        <v>41348</v>
      </c>
      <c r="L903" s="7">
        <v>16061.15</v>
      </c>
      <c r="M903" s="6">
        <v>16176.54</v>
      </c>
      <c r="N903" s="6">
        <v>16232.76</v>
      </c>
      <c r="O903" s="6">
        <v>16001.45</v>
      </c>
      <c r="P903" s="37">
        <v>1120000</v>
      </c>
    </row>
    <row r="904" spans="2:16" ht="15" thickBot="1">
      <c r="B904" s="9">
        <f t="shared" si="89"/>
        <v>10</v>
      </c>
      <c r="C904" s="15">
        <f t="shared" si="84"/>
        <v>4</v>
      </c>
      <c r="D904" s="25">
        <f t="shared" si="85"/>
        <v>41347</v>
      </c>
      <c r="E904" s="16">
        <f t="shared" si="86"/>
        <v>9.8397367094009702E-3</v>
      </c>
      <c r="F904" s="17">
        <f t="shared" si="87"/>
        <v>2.4496771743258483E-2</v>
      </c>
      <c r="G904" s="18">
        <f t="shared" si="88"/>
        <v>1.4657035033857513E-2</v>
      </c>
      <c r="J904" s="28"/>
      <c r="K904" s="8">
        <v>41347</v>
      </c>
      <c r="L904" s="5">
        <v>16131.05</v>
      </c>
      <c r="M904" s="6">
        <v>15900.27</v>
      </c>
      <c r="N904" s="6">
        <v>16131.05</v>
      </c>
      <c r="O904" s="6">
        <v>15870.7</v>
      </c>
      <c r="P904" s="37">
        <v>905650</v>
      </c>
    </row>
    <row r="905" spans="2:16" ht="15" thickBot="1">
      <c r="B905" s="9">
        <f t="shared" si="89"/>
        <v>9</v>
      </c>
      <c r="C905" s="15">
        <f t="shared" si="84"/>
        <v>3</v>
      </c>
      <c r="D905" s="25">
        <f t="shared" si="85"/>
        <v>41346</v>
      </c>
      <c r="E905" s="16">
        <f t="shared" si="86"/>
        <v>-1.7617346002678502E-3</v>
      </c>
      <c r="F905" s="17">
        <f t="shared" si="87"/>
        <v>-1.7388938328679826E-2</v>
      </c>
      <c r="G905" s="18">
        <f t="shared" si="88"/>
        <v>-1.5627203728411976E-2</v>
      </c>
      <c r="J905" s="28"/>
      <c r="K905" s="8">
        <v>41346</v>
      </c>
      <c r="L905" s="7">
        <v>15745.34</v>
      </c>
      <c r="M905" s="6">
        <v>15995.75</v>
      </c>
      <c r="N905" s="6">
        <v>16006.16</v>
      </c>
      <c r="O905" s="6">
        <v>15721.68</v>
      </c>
      <c r="P905" s="37">
        <v>798240</v>
      </c>
    </row>
    <row r="906" spans="2:16" ht="15" thickBot="1">
      <c r="B906" s="9">
        <f t="shared" si="89"/>
        <v>8</v>
      </c>
      <c r="C906" s="15">
        <f t="shared" si="84"/>
        <v>2</v>
      </c>
      <c r="D906" s="25">
        <f t="shared" si="85"/>
        <v>41345</v>
      </c>
      <c r="E906" s="16">
        <f t="shared" si="86"/>
        <v>-1.4821047503166263E-3</v>
      </c>
      <c r="F906" s="17">
        <f t="shared" si="87"/>
        <v>-4.2257074642151338E-3</v>
      </c>
      <c r="G906" s="18">
        <f t="shared" si="88"/>
        <v>-2.7436027138985075E-3</v>
      </c>
      <c r="J906" s="28"/>
      <c r="K906" s="8">
        <v>41345</v>
      </c>
      <c r="L906" s="7">
        <v>16023.98</v>
      </c>
      <c r="M906" s="6">
        <v>16068.13</v>
      </c>
      <c r="N906" s="6">
        <v>16228.92</v>
      </c>
      <c r="O906" s="6">
        <v>15987.37</v>
      </c>
      <c r="P906" s="37">
        <v>683810</v>
      </c>
    </row>
    <row r="907" spans="2:16" ht="15" thickBot="1">
      <c r="B907" s="9">
        <f t="shared" si="89"/>
        <v>7</v>
      </c>
      <c r="C907" s="15">
        <f t="shared" si="84"/>
        <v>1</v>
      </c>
      <c r="D907" s="25">
        <f t="shared" si="85"/>
        <v>41344</v>
      </c>
      <c r="E907" s="16">
        <f t="shared" si="86"/>
        <v>-1.0146241397973266E-2</v>
      </c>
      <c r="F907" s="17">
        <f t="shared" si="87"/>
        <v>-6.9149464670209548E-3</v>
      </c>
      <c r="G907" s="18">
        <f t="shared" si="88"/>
        <v>3.2312949309523109E-3</v>
      </c>
      <c r="J907" s="28"/>
      <c r="K907" s="8">
        <v>41344</v>
      </c>
      <c r="L907" s="7">
        <v>16091.98</v>
      </c>
      <c r="M907" s="6">
        <v>16039.62</v>
      </c>
      <c r="N907" s="6">
        <v>16146.81</v>
      </c>
      <c r="O907" s="6">
        <v>16021.8</v>
      </c>
      <c r="P907" s="37">
        <v>528500</v>
      </c>
    </row>
    <row r="908" spans="2:16" ht="15" thickBot="1">
      <c r="B908" s="9">
        <f t="shared" si="89"/>
        <v>6</v>
      </c>
      <c r="C908" s="15">
        <f t="shared" si="84"/>
        <v>5</v>
      </c>
      <c r="D908" s="25">
        <f t="shared" si="85"/>
        <v>41341</v>
      </c>
      <c r="E908" s="16">
        <f t="shared" si="86"/>
        <v>5.1733316945890007E-3</v>
      </c>
      <c r="F908" s="17">
        <f t="shared" si="87"/>
        <v>1.6106933079662378E-2</v>
      </c>
      <c r="G908" s="18">
        <f t="shared" si="88"/>
        <v>1.0933601385073377E-2</v>
      </c>
      <c r="J908" s="28"/>
      <c r="K908" s="8">
        <v>41341</v>
      </c>
      <c r="L908" s="5">
        <v>16204.03</v>
      </c>
      <c r="M908" s="6">
        <v>16029.67</v>
      </c>
      <c r="N908" s="6">
        <v>16258.5</v>
      </c>
      <c r="O908" s="6">
        <v>16014.65</v>
      </c>
      <c r="P908" s="37">
        <v>811090</v>
      </c>
    </row>
    <row r="909" spans="2:16" ht="15" thickBot="1">
      <c r="B909" s="9">
        <f t="shared" si="89"/>
        <v>5</v>
      </c>
      <c r="C909" s="15">
        <f t="shared" si="84"/>
        <v>4</v>
      </c>
      <c r="D909" s="25">
        <f t="shared" si="85"/>
        <v>41340</v>
      </c>
      <c r="E909" s="16">
        <f t="shared" si="86"/>
        <v>4.1069957294790349E-3</v>
      </c>
      <c r="F909" s="17">
        <f t="shared" si="87"/>
        <v>2.9855909230991351E-3</v>
      </c>
      <c r="G909" s="18">
        <f t="shared" si="88"/>
        <v>-1.1214048063798998E-3</v>
      </c>
      <c r="J909" s="28"/>
      <c r="K909" s="8">
        <v>41340</v>
      </c>
      <c r="L909" s="5">
        <v>15947.17</v>
      </c>
      <c r="M909" s="6">
        <v>15965</v>
      </c>
      <c r="N909" s="6">
        <v>16037.98</v>
      </c>
      <c r="O909" s="6">
        <v>15886.86</v>
      </c>
      <c r="P909" s="37">
        <v>927150</v>
      </c>
    </row>
    <row r="910" spans="2:16" ht="15" thickBot="1">
      <c r="B910" s="9">
        <f t="shared" si="89"/>
        <v>4</v>
      </c>
      <c r="C910" s="15">
        <f t="shared" si="84"/>
        <v>3</v>
      </c>
      <c r="D910" s="25">
        <f t="shared" si="85"/>
        <v>41339</v>
      </c>
      <c r="E910" s="16">
        <f t="shared" si="86"/>
        <v>3.8561940116310645E-4</v>
      </c>
      <c r="F910" s="17">
        <f t="shared" si="87"/>
        <v>-4.670001189410411E-3</v>
      </c>
      <c r="G910" s="18">
        <f t="shared" si="88"/>
        <v>-5.0556205905735174E-3</v>
      </c>
      <c r="J910" s="28"/>
      <c r="K910" s="8">
        <v>41339</v>
      </c>
      <c r="L910" s="7">
        <v>15899.7</v>
      </c>
      <c r="M910" s="6">
        <v>15980.46</v>
      </c>
      <c r="N910" s="6">
        <v>16077.91</v>
      </c>
      <c r="O910" s="6">
        <v>15891.72</v>
      </c>
      <c r="P910" s="37">
        <v>748020</v>
      </c>
    </row>
    <row r="911" spans="2:16" ht="15" thickBot="1">
      <c r="B911" s="9">
        <f t="shared" si="89"/>
        <v>3</v>
      </c>
      <c r="C911" s="15">
        <f t="shared" si="84"/>
        <v>2</v>
      </c>
      <c r="D911" s="25">
        <f t="shared" si="85"/>
        <v>41338</v>
      </c>
      <c r="E911" s="16">
        <f t="shared" si="86"/>
        <v>7.8161543722659044E-3</v>
      </c>
      <c r="F911" s="17">
        <f t="shared" si="87"/>
        <v>2.7803710807435378E-2</v>
      </c>
      <c r="G911" s="18">
        <f t="shared" si="88"/>
        <v>1.9987556435169473E-2</v>
      </c>
      <c r="J911" s="28"/>
      <c r="K911" s="8">
        <v>41338</v>
      </c>
      <c r="L911" s="5">
        <v>15974.3</v>
      </c>
      <c r="M911" s="6">
        <v>15663.65</v>
      </c>
      <c r="N911" s="6">
        <v>15974.3</v>
      </c>
      <c r="O911" s="6">
        <v>15660.95</v>
      </c>
      <c r="P911" s="37">
        <v>722820</v>
      </c>
    </row>
    <row r="912" spans="2:16" ht="15" thickBot="1">
      <c r="B912" s="9">
        <f t="shared" si="89"/>
        <v>2</v>
      </c>
      <c r="C912" s="15">
        <f t="shared" si="84"/>
        <v>1</v>
      </c>
      <c r="D912" s="25">
        <f t="shared" si="85"/>
        <v>41337</v>
      </c>
      <c r="E912" s="16">
        <f t="shared" si="86"/>
        <v>-8.5069762308641605E-3</v>
      </c>
      <c r="F912" s="17">
        <f t="shared" si="87"/>
        <v>-8.4974070787484646E-3</v>
      </c>
      <c r="G912" s="18">
        <f t="shared" si="88"/>
        <v>9.569152115695978E-6</v>
      </c>
      <c r="J912" s="28"/>
      <c r="K912" s="8">
        <v>41337</v>
      </c>
      <c r="L912" s="7">
        <v>15542.17</v>
      </c>
      <c r="M912" s="6">
        <v>15542.02</v>
      </c>
      <c r="N912" s="6">
        <v>15697.2</v>
      </c>
      <c r="O912" s="6">
        <v>15406.76</v>
      </c>
      <c r="P912" s="37">
        <v>686690</v>
      </c>
    </row>
    <row r="913" spans="2:16" ht="15" thickBot="1">
      <c r="B913" s="19">
        <v>1</v>
      </c>
      <c r="C913" s="15">
        <f t="shared" si="84"/>
        <v>5</v>
      </c>
      <c r="D913" s="25">
        <f t="shared" si="85"/>
        <v>41334</v>
      </c>
      <c r="E913" s="16">
        <f t="shared" si="86"/>
        <v>-3.9638847452304615E-3</v>
      </c>
      <c r="F913" s="17">
        <f t="shared" si="87"/>
        <v>-1.5443511030854951E-2</v>
      </c>
      <c r="G913" s="18">
        <f t="shared" si="88"/>
        <v>-1.1479626285624489E-2</v>
      </c>
      <c r="J913" s="28"/>
      <c r="K913" s="8">
        <v>41334</v>
      </c>
      <c r="L913" s="7">
        <v>15675.37</v>
      </c>
      <c r="M913" s="6">
        <v>15858.14</v>
      </c>
      <c r="N913" s="6">
        <v>15905.53</v>
      </c>
      <c r="O913" s="6">
        <v>15556.5</v>
      </c>
      <c r="P913" s="37">
        <v>769410</v>
      </c>
    </row>
    <row r="914" spans="2:16" ht="15" thickBot="1">
      <c r="B914" s="9">
        <f t="shared" si="89"/>
        <v>20</v>
      </c>
      <c r="C914" s="15">
        <f t="shared" si="84"/>
        <v>4</v>
      </c>
      <c r="D914" s="25">
        <f t="shared" si="85"/>
        <v>41333</v>
      </c>
      <c r="E914" s="16">
        <f t="shared" si="86"/>
        <v>4.8947938399015456E-3</v>
      </c>
      <c r="F914" s="17">
        <f t="shared" si="87"/>
        <v>5.95374239749491E-3</v>
      </c>
      <c r="G914" s="18">
        <f t="shared" si="88"/>
        <v>1.0589485575933644E-3</v>
      </c>
      <c r="J914" s="28"/>
      <c r="K914" s="8">
        <v>41333</v>
      </c>
      <c r="L914" s="5">
        <v>15921.25</v>
      </c>
      <c r="M914" s="6">
        <v>15904.49</v>
      </c>
      <c r="N914" s="6">
        <v>15928.44</v>
      </c>
      <c r="O914" s="6">
        <v>15720.95</v>
      </c>
      <c r="P914" s="37">
        <v>804150</v>
      </c>
    </row>
    <row r="915" spans="2:16" ht="15" thickBot="1">
      <c r="B915" s="9">
        <f t="shared" si="89"/>
        <v>19</v>
      </c>
      <c r="C915" s="15">
        <f t="shared" si="84"/>
        <v>3</v>
      </c>
      <c r="D915" s="25">
        <f t="shared" si="85"/>
        <v>41332</v>
      </c>
      <c r="E915" s="16">
        <f t="shared" si="86"/>
        <v>6.8118979951388159E-3</v>
      </c>
      <c r="F915" s="17">
        <f t="shared" si="87"/>
        <v>1.767081184655539E-2</v>
      </c>
      <c r="G915" s="18">
        <f t="shared" si="88"/>
        <v>1.0858913851416574E-2</v>
      </c>
      <c r="J915" s="28"/>
      <c r="K915" s="8">
        <v>41332</v>
      </c>
      <c r="L915" s="5">
        <v>15827.02</v>
      </c>
      <c r="M915" s="6">
        <v>15658.14</v>
      </c>
      <c r="N915" s="6">
        <v>15827.02</v>
      </c>
      <c r="O915" s="6">
        <v>15466.43</v>
      </c>
      <c r="P915" s="37">
        <v>861040</v>
      </c>
    </row>
    <row r="916" spans="2:16" ht="15" thickBot="1">
      <c r="B916" s="9">
        <f t="shared" si="89"/>
        <v>18</v>
      </c>
      <c r="C916" s="15">
        <f t="shared" si="84"/>
        <v>2</v>
      </c>
      <c r="D916" s="25">
        <f t="shared" si="85"/>
        <v>41331</v>
      </c>
      <c r="E916" s="16">
        <f t="shared" si="86"/>
        <v>-1.5741203364238787E-2</v>
      </c>
      <c r="F916" s="17">
        <f t="shared" si="87"/>
        <v>-4.8910866506156059E-2</v>
      </c>
      <c r="G916" s="18">
        <f t="shared" si="88"/>
        <v>-3.3169663141917272E-2</v>
      </c>
      <c r="J916" s="28"/>
      <c r="K916" s="8">
        <v>41331</v>
      </c>
      <c r="L916" s="7">
        <v>15552.2</v>
      </c>
      <c r="M916" s="6">
        <v>16094.59</v>
      </c>
      <c r="N916" s="6">
        <v>16121.88</v>
      </c>
      <c r="O916" s="6">
        <v>15530.14</v>
      </c>
      <c r="P916" s="37">
        <v>1580000</v>
      </c>
    </row>
    <row r="917" spans="2:16" ht="15" thickBot="1">
      <c r="B917" s="9">
        <f t="shared" si="89"/>
        <v>17</v>
      </c>
      <c r="C917" s="15">
        <f t="shared" si="84"/>
        <v>1</v>
      </c>
      <c r="D917" s="25">
        <f t="shared" si="85"/>
        <v>41330</v>
      </c>
      <c r="E917" s="16">
        <f t="shared" si="86"/>
        <v>5.6470411401763343E-3</v>
      </c>
      <c r="F917" s="17">
        <f t="shared" si="87"/>
        <v>7.3127550316387513E-3</v>
      </c>
      <c r="G917" s="18">
        <f t="shared" si="88"/>
        <v>1.665713891462417E-3</v>
      </c>
      <c r="J917" s="28"/>
      <c r="K917" s="8">
        <v>41330</v>
      </c>
      <c r="L917" s="5">
        <v>16351.99</v>
      </c>
      <c r="M917" s="6">
        <v>16324.95</v>
      </c>
      <c r="N917" s="6">
        <v>16884.14</v>
      </c>
      <c r="O917" s="6">
        <v>16130.54</v>
      </c>
      <c r="P917" s="37">
        <v>1390000</v>
      </c>
    </row>
    <row r="918" spans="2:16" ht="15" thickBot="1">
      <c r="B918" s="9">
        <f t="shared" si="89"/>
        <v>16</v>
      </c>
      <c r="C918" s="15">
        <f t="shared" si="84"/>
        <v>5</v>
      </c>
      <c r="D918" s="25">
        <f t="shared" si="85"/>
        <v>41327</v>
      </c>
      <c r="E918" s="16">
        <f t="shared" si="86"/>
        <v>2.9301260809952989E-3</v>
      </c>
      <c r="F918" s="17">
        <f t="shared" si="87"/>
        <v>1.3974783800918988E-2</v>
      </c>
      <c r="G918" s="18">
        <f t="shared" si="88"/>
        <v>1.1044657719923689E-2</v>
      </c>
      <c r="J918" s="28"/>
      <c r="K918" s="8">
        <v>41327</v>
      </c>
      <c r="L918" s="5">
        <v>16233.28</v>
      </c>
      <c r="M918" s="6">
        <v>16056.46</v>
      </c>
      <c r="N918" s="6">
        <v>16312.02</v>
      </c>
      <c r="O918" s="6">
        <v>16054.06</v>
      </c>
      <c r="P918" s="37">
        <v>769930</v>
      </c>
    </row>
    <row r="919" spans="2:16" ht="15" thickBot="1">
      <c r="B919" s="9">
        <f t="shared" si="89"/>
        <v>15</v>
      </c>
      <c r="C919" s="15">
        <f t="shared" si="84"/>
        <v>4</v>
      </c>
      <c r="D919" s="25">
        <f t="shared" si="85"/>
        <v>41326</v>
      </c>
      <c r="E919" s="16">
        <f t="shared" si="86"/>
        <v>-9.1483890485555275E-3</v>
      </c>
      <c r="F919" s="17">
        <f t="shared" si="87"/>
        <v>-3.1338677960974226E-2</v>
      </c>
      <c r="G919" s="18">
        <f t="shared" si="88"/>
        <v>-2.2190288912418699E-2</v>
      </c>
      <c r="J919" s="28"/>
      <c r="K919" s="8">
        <v>41326</v>
      </c>
      <c r="L919" s="7">
        <v>16009.55</v>
      </c>
      <c r="M919" s="6">
        <v>16376.3</v>
      </c>
      <c r="N919" s="6">
        <v>16390.84</v>
      </c>
      <c r="O919" s="6">
        <v>16009.55</v>
      </c>
      <c r="P919" s="37">
        <v>905500</v>
      </c>
    </row>
    <row r="920" spans="2:16" ht="15" thickBot="1">
      <c r="B920" s="9">
        <f t="shared" si="89"/>
        <v>14</v>
      </c>
      <c r="C920" s="15">
        <f t="shared" si="84"/>
        <v>3</v>
      </c>
      <c r="D920" s="25">
        <f t="shared" si="85"/>
        <v>41325</v>
      </c>
      <c r="E920" s="16">
        <f t="shared" si="86"/>
        <v>-1.6658245531496751E-3</v>
      </c>
      <c r="F920" s="17">
        <f t="shared" si="87"/>
        <v>-8.2163075582587508E-3</v>
      </c>
      <c r="G920" s="18">
        <f t="shared" si="88"/>
        <v>-6.5504830051090757E-3</v>
      </c>
      <c r="J920" s="28"/>
      <c r="K920" s="8">
        <v>41325</v>
      </c>
      <c r="L920" s="7">
        <v>16527.5</v>
      </c>
      <c r="M920" s="6">
        <v>16636.66</v>
      </c>
      <c r="N920" s="6">
        <v>16727.849999999999</v>
      </c>
      <c r="O920" s="6">
        <v>16507</v>
      </c>
      <c r="P920" s="37">
        <v>652650</v>
      </c>
    </row>
    <row r="921" spans="2:16" ht="15" thickBot="1">
      <c r="B921" s="9">
        <f t="shared" si="89"/>
        <v>13</v>
      </c>
      <c r="C921" s="15">
        <f t="shared" si="84"/>
        <v>2</v>
      </c>
      <c r="D921" s="25">
        <f t="shared" si="85"/>
        <v>41324</v>
      </c>
      <c r="E921" s="16">
        <f t="shared" si="86"/>
        <v>-2.358279242449246E-3</v>
      </c>
      <c r="F921" s="17">
        <f t="shared" si="87"/>
        <v>1.5749696910221322E-2</v>
      </c>
      <c r="G921" s="18">
        <f t="shared" si="88"/>
        <v>1.8107976152670568E-2</v>
      </c>
      <c r="J921" s="28"/>
      <c r="K921" s="8">
        <v>41324</v>
      </c>
      <c r="L921" s="5">
        <v>16664.419999999998</v>
      </c>
      <c r="M921" s="6">
        <v>16367.34</v>
      </c>
      <c r="N921" s="6">
        <v>16688.310000000001</v>
      </c>
      <c r="O921" s="6">
        <v>16364.89</v>
      </c>
      <c r="P921" s="37">
        <v>704980</v>
      </c>
    </row>
    <row r="922" spans="2:16" ht="15" thickBot="1">
      <c r="B922" s="9">
        <f t="shared" si="89"/>
        <v>12</v>
      </c>
      <c r="C922" s="15">
        <f t="shared" si="84"/>
        <v>1</v>
      </c>
      <c r="D922" s="25">
        <f t="shared" si="85"/>
        <v>41323</v>
      </c>
      <c r="E922" s="16">
        <f t="shared" si="86"/>
        <v>-3.3960387633567013E-3</v>
      </c>
      <c r="F922" s="17">
        <f t="shared" si="87"/>
        <v>-5.0801101286855888E-3</v>
      </c>
      <c r="G922" s="18">
        <f t="shared" si="88"/>
        <v>-1.6840713653288875E-3</v>
      </c>
      <c r="J922" s="28"/>
      <c r="K922" s="8">
        <v>41323</v>
      </c>
      <c r="L922" s="7">
        <v>16406.03</v>
      </c>
      <c r="M922" s="6">
        <v>16433.8</v>
      </c>
      <c r="N922" s="6">
        <v>16481.04</v>
      </c>
      <c r="O922" s="6">
        <v>16335.56</v>
      </c>
      <c r="P922" s="37">
        <v>528340</v>
      </c>
    </row>
    <row r="923" spans="2:16" ht="15" thickBot="1">
      <c r="B923" s="9">
        <f t="shared" si="89"/>
        <v>11</v>
      </c>
      <c r="C923" s="15">
        <f t="shared" si="84"/>
        <v>5</v>
      </c>
      <c r="D923" s="25">
        <f t="shared" si="85"/>
        <v>41320</v>
      </c>
      <c r="E923" s="16">
        <f t="shared" si="86"/>
        <v>-5.5545649881094672E-4</v>
      </c>
      <c r="F923" s="17">
        <f t="shared" si="87"/>
        <v>-3.3333434069007239E-3</v>
      </c>
      <c r="G923" s="18">
        <f t="shared" si="88"/>
        <v>-2.7778869080897772E-3</v>
      </c>
      <c r="J923" s="28"/>
      <c r="K923" s="8">
        <v>41320</v>
      </c>
      <c r="L923" s="7">
        <v>16489.8</v>
      </c>
      <c r="M923" s="6">
        <v>16535.759999999998</v>
      </c>
      <c r="N923" s="6">
        <v>16655.41</v>
      </c>
      <c r="O923" s="6">
        <v>16470.900000000001</v>
      </c>
      <c r="P923" s="37">
        <v>616600</v>
      </c>
    </row>
    <row r="924" spans="2:16" ht="15" thickBot="1">
      <c r="B924" s="9">
        <f t="shared" si="89"/>
        <v>10</v>
      </c>
      <c r="C924" s="15">
        <f t="shared" si="84"/>
        <v>4</v>
      </c>
      <c r="D924" s="25">
        <f t="shared" si="85"/>
        <v>41319</v>
      </c>
      <c r="E924" s="16">
        <f t="shared" si="86"/>
        <v>-2.2839670539099854E-3</v>
      </c>
      <c r="F924" s="17">
        <f t="shared" si="87"/>
        <v>-1.0004697181392075E-2</v>
      </c>
      <c r="G924" s="18">
        <f t="shared" si="88"/>
        <v>-7.7207301274820894E-3</v>
      </c>
      <c r="J924" s="28"/>
      <c r="K924" s="8">
        <v>41319</v>
      </c>
      <c r="L924" s="7">
        <v>16544.95</v>
      </c>
      <c r="M924" s="6">
        <v>16673.98</v>
      </c>
      <c r="N924" s="6">
        <v>16813.990000000002</v>
      </c>
      <c r="O924" s="6">
        <v>16492.66</v>
      </c>
      <c r="P924" s="37">
        <v>756580</v>
      </c>
    </row>
    <row r="925" spans="2:16" ht="15" thickBot="1">
      <c r="B925" s="9">
        <f t="shared" si="89"/>
        <v>9</v>
      </c>
      <c r="C925" s="15">
        <f t="shared" si="84"/>
        <v>3</v>
      </c>
      <c r="D925" s="25">
        <f t="shared" si="85"/>
        <v>41318</v>
      </c>
      <c r="E925" s="16">
        <f t="shared" si="86"/>
        <v>3.4005329103694582E-3</v>
      </c>
      <c r="F925" s="17">
        <f t="shared" si="87"/>
        <v>4.0674218733571799E-3</v>
      </c>
      <c r="G925" s="18">
        <f t="shared" si="88"/>
        <v>6.6688896298772171E-4</v>
      </c>
      <c r="J925" s="28"/>
      <c r="K925" s="8">
        <v>41318</v>
      </c>
      <c r="L925" s="5">
        <v>16712.150000000001</v>
      </c>
      <c r="M925" s="6">
        <v>16701.05</v>
      </c>
      <c r="N925" s="6">
        <v>16793.12</v>
      </c>
      <c r="O925" s="6">
        <v>16570.060000000001</v>
      </c>
      <c r="P925" s="37">
        <v>833680</v>
      </c>
    </row>
    <row r="926" spans="2:16" ht="15" thickBot="1">
      <c r="B926" s="9">
        <f t="shared" si="89"/>
        <v>8</v>
      </c>
      <c r="C926" s="15">
        <f t="shared" si="84"/>
        <v>2</v>
      </c>
      <c r="D926" s="25">
        <f t="shared" si="85"/>
        <v>41317</v>
      </c>
      <c r="E926" s="16">
        <f t="shared" si="86"/>
        <v>-3.3781269907143807E-3</v>
      </c>
      <c r="F926" s="17">
        <f t="shared" si="87"/>
        <v>6.9316939576657965E-3</v>
      </c>
      <c r="G926" s="18">
        <f t="shared" si="88"/>
        <v>1.0309820948380177E-2</v>
      </c>
      <c r="J926" s="28"/>
      <c r="K926" s="8">
        <v>41317</v>
      </c>
      <c r="L926" s="5">
        <v>16644.45</v>
      </c>
      <c r="M926" s="6">
        <v>16474.03</v>
      </c>
      <c r="N926" s="6">
        <v>16661.18</v>
      </c>
      <c r="O926" s="6">
        <v>16369.41</v>
      </c>
      <c r="P926" s="37">
        <v>866930</v>
      </c>
    </row>
    <row r="927" spans="2:16" ht="15" thickBot="1">
      <c r="B927" s="9">
        <f t="shared" si="89"/>
        <v>7</v>
      </c>
      <c r="C927" s="15">
        <f t="shared" si="84"/>
        <v>1</v>
      </c>
      <c r="D927" s="25">
        <f t="shared" si="85"/>
        <v>41316</v>
      </c>
      <c r="E927" s="16">
        <f t="shared" si="86"/>
        <v>-1.4533537776975081E-3</v>
      </c>
      <c r="F927" s="17">
        <f t="shared" si="87"/>
        <v>-6.0509305192267826E-3</v>
      </c>
      <c r="G927" s="18">
        <f t="shared" si="88"/>
        <v>-4.5975767415292745E-3</v>
      </c>
      <c r="J927" s="28"/>
      <c r="K927" s="8">
        <v>41316</v>
      </c>
      <c r="L927" s="7">
        <v>16529.87</v>
      </c>
      <c r="M927" s="6">
        <v>16606.330000000002</v>
      </c>
      <c r="N927" s="6">
        <v>16694.509999999998</v>
      </c>
      <c r="O927" s="6">
        <v>16467.23</v>
      </c>
      <c r="P927" s="37">
        <v>914330</v>
      </c>
    </row>
    <row r="928" spans="2:16" ht="15" thickBot="1">
      <c r="B928" s="9">
        <f t="shared" si="89"/>
        <v>6</v>
      </c>
      <c r="C928" s="15">
        <f t="shared" si="84"/>
        <v>5</v>
      </c>
      <c r="D928" s="25">
        <f t="shared" si="85"/>
        <v>41313</v>
      </c>
      <c r="E928" s="16">
        <f t="shared" si="86"/>
        <v>9.0118873989664117E-4</v>
      </c>
      <c r="F928" s="17">
        <f t="shared" si="87"/>
        <v>1.4020252966971736E-2</v>
      </c>
      <c r="G928" s="18">
        <f t="shared" si="88"/>
        <v>1.3119064227075095E-2</v>
      </c>
      <c r="J928" s="28"/>
      <c r="K928" s="8">
        <v>41313</v>
      </c>
      <c r="L928" s="5">
        <v>16630.5</v>
      </c>
      <c r="M928" s="6">
        <v>16415.34</v>
      </c>
      <c r="N928" s="6">
        <v>16637.68</v>
      </c>
      <c r="O928" s="6">
        <v>16378.46</v>
      </c>
      <c r="P928" s="37">
        <v>1070000</v>
      </c>
    </row>
    <row r="929" spans="2:16" ht="15" thickBot="1">
      <c r="B929" s="9">
        <f t="shared" si="89"/>
        <v>5</v>
      </c>
      <c r="C929" s="15">
        <f t="shared" si="84"/>
        <v>4</v>
      </c>
      <c r="D929" s="25">
        <f t="shared" si="85"/>
        <v>41312</v>
      </c>
      <c r="E929" s="16">
        <f t="shared" si="86"/>
        <v>1.977973661148491E-3</v>
      </c>
      <c r="F929" s="17">
        <f t="shared" si="87"/>
        <v>-1.2184052737933437E-2</v>
      </c>
      <c r="G929" s="18">
        <f t="shared" si="88"/>
        <v>-1.4162026399081928E-2</v>
      </c>
      <c r="J929" s="28"/>
      <c r="K929" s="8">
        <v>41312</v>
      </c>
      <c r="L929" s="7">
        <v>16400.560000000001</v>
      </c>
      <c r="M929" s="6">
        <v>16635.689999999999</v>
      </c>
      <c r="N929" s="6">
        <v>16828.150000000001</v>
      </c>
      <c r="O929" s="6">
        <v>16395.740000000002</v>
      </c>
      <c r="P929" s="37">
        <v>1390000</v>
      </c>
    </row>
    <row r="930" spans="2:16" ht="15" thickBot="1">
      <c r="B930" s="9">
        <f t="shared" si="89"/>
        <v>4</v>
      </c>
      <c r="C930" s="15">
        <f t="shared" si="84"/>
        <v>3</v>
      </c>
      <c r="D930" s="25">
        <f t="shared" si="85"/>
        <v>41311</v>
      </c>
      <c r="E930" s="16">
        <f t="shared" si="86"/>
        <v>-2.6567322432746732E-4</v>
      </c>
      <c r="F930" s="17">
        <f t="shared" si="87"/>
        <v>-6.5466908724493011E-3</v>
      </c>
      <c r="G930" s="18">
        <f t="shared" si="88"/>
        <v>-6.2810176481218338E-3</v>
      </c>
      <c r="J930" s="28"/>
      <c r="K930" s="8">
        <v>41311</v>
      </c>
      <c r="L930" s="7">
        <v>16602.849999999999</v>
      </c>
      <c r="M930" s="6">
        <v>16707.82</v>
      </c>
      <c r="N930" s="6">
        <v>16805.14</v>
      </c>
      <c r="O930" s="6">
        <v>16408.080000000002</v>
      </c>
      <c r="P930" s="37">
        <v>1310000</v>
      </c>
    </row>
    <row r="931" spans="2:16" ht="15" thickBot="1">
      <c r="B931" s="9">
        <f t="shared" si="89"/>
        <v>3</v>
      </c>
      <c r="C931" s="15">
        <f t="shared" si="84"/>
        <v>2</v>
      </c>
      <c r="D931" s="25">
        <f t="shared" si="85"/>
        <v>41310</v>
      </c>
      <c r="E931" s="16">
        <f t="shared" si="86"/>
        <v>-3.2795211318702444E-3</v>
      </c>
      <c r="F931" s="17">
        <f t="shared" si="87"/>
        <v>1.0475844972489101E-2</v>
      </c>
      <c r="G931" s="18">
        <f t="shared" si="88"/>
        <v>1.3755366104359346E-2</v>
      </c>
      <c r="J931" s="28"/>
      <c r="K931" s="8">
        <v>41310</v>
      </c>
      <c r="L931" s="5">
        <v>16712.259999999998</v>
      </c>
      <c r="M931" s="6">
        <v>16484.759999999998</v>
      </c>
      <c r="N931" s="6">
        <v>16802.86</v>
      </c>
      <c r="O931" s="6">
        <v>16416.77</v>
      </c>
      <c r="P931" s="37">
        <v>1190000</v>
      </c>
    </row>
    <row r="932" spans="2:16" ht="15" thickBot="1">
      <c r="B932" s="9">
        <f t="shared" si="89"/>
        <v>2</v>
      </c>
      <c r="C932" s="15">
        <f t="shared" si="84"/>
        <v>1</v>
      </c>
      <c r="D932" s="25">
        <f t="shared" si="85"/>
        <v>41309</v>
      </c>
      <c r="E932" s="16">
        <f t="shared" si="86"/>
        <v>-2.0255281212359089E-3</v>
      </c>
      <c r="F932" s="17">
        <f t="shared" si="87"/>
        <v>-4.5033933947458582E-2</v>
      </c>
      <c r="G932" s="18">
        <f t="shared" si="88"/>
        <v>-4.3008405826222673E-2</v>
      </c>
      <c r="J932" s="28"/>
      <c r="K932" s="8">
        <v>41309</v>
      </c>
      <c r="L932" s="7">
        <v>16539</v>
      </c>
      <c r="M932" s="6">
        <v>17283.86</v>
      </c>
      <c r="N932" s="6">
        <v>17284.79</v>
      </c>
      <c r="O932" s="6">
        <v>16539</v>
      </c>
      <c r="P932" s="37">
        <v>1240000</v>
      </c>
    </row>
    <row r="933" spans="2:16" ht="15" thickBot="1">
      <c r="B933" s="19">
        <v>1</v>
      </c>
      <c r="C933" s="15">
        <f t="shared" si="84"/>
        <v>5</v>
      </c>
      <c r="D933" s="25">
        <f t="shared" si="85"/>
        <v>41306</v>
      </c>
      <c r="E933" s="16">
        <f t="shared" si="86"/>
        <v>-1.5631576472586728E-3</v>
      </c>
      <c r="F933" s="17">
        <f t="shared" si="87"/>
        <v>-6.8879859350218231E-3</v>
      </c>
      <c r="G933" s="18">
        <f t="shared" si="88"/>
        <v>-5.3248282877631503E-3</v>
      </c>
      <c r="J933" s="28"/>
      <c r="K933" s="8">
        <v>41306</v>
      </c>
      <c r="L933" s="7">
        <v>17318.939999999999</v>
      </c>
      <c r="M933" s="6">
        <v>17411.8</v>
      </c>
      <c r="N933" s="6">
        <v>17558.21</v>
      </c>
      <c r="O933" s="6">
        <v>17130.8</v>
      </c>
      <c r="P933" s="37">
        <v>1400000</v>
      </c>
    </row>
    <row r="934" spans="2:16" ht="15" thickBot="1">
      <c r="B934" s="9">
        <f t="shared" si="89"/>
        <v>22</v>
      </c>
      <c r="C934" s="15">
        <f t="shared" si="84"/>
        <v>4</v>
      </c>
      <c r="D934" s="25">
        <f t="shared" si="85"/>
        <v>41305</v>
      </c>
      <c r="E934" s="16">
        <f t="shared" si="86"/>
        <v>2.3944601215390993E-3</v>
      </c>
      <c r="F934" s="17">
        <f t="shared" si="87"/>
        <v>8.6264185296511808E-3</v>
      </c>
      <c r="G934" s="18">
        <f t="shared" si="88"/>
        <v>6.2319584081120816E-3</v>
      </c>
      <c r="J934" s="28"/>
      <c r="K934" s="8">
        <v>41305</v>
      </c>
      <c r="L934" s="5">
        <v>17439.060000000001</v>
      </c>
      <c r="M934" s="6">
        <v>17331.310000000001</v>
      </c>
      <c r="N934" s="6">
        <v>17519.78</v>
      </c>
      <c r="O934" s="6">
        <v>17080.16</v>
      </c>
      <c r="P934" s="37">
        <v>1360000</v>
      </c>
    </row>
    <row r="935" spans="2:16" ht="15" thickBot="1">
      <c r="B935" s="9">
        <f t="shared" si="89"/>
        <v>21</v>
      </c>
      <c r="C935" s="15">
        <f t="shared" si="84"/>
        <v>3</v>
      </c>
      <c r="D935" s="25">
        <f t="shared" si="85"/>
        <v>41304</v>
      </c>
      <c r="E935" s="16">
        <f t="shared" si="86"/>
        <v>4.2862947555626363E-3</v>
      </c>
      <c r="F935" s="17">
        <f t="shared" si="87"/>
        <v>-3.3646491626662556E-2</v>
      </c>
      <c r="G935" s="18">
        <f t="shared" si="88"/>
        <v>-3.7932786382225192E-2</v>
      </c>
      <c r="J935" s="28"/>
      <c r="K935" s="8">
        <v>41304</v>
      </c>
      <c r="L935" s="7">
        <v>17289.91</v>
      </c>
      <c r="M935" s="6">
        <v>17968.599999999999</v>
      </c>
      <c r="N935" s="6">
        <v>17983.63</v>
      </c>
      <c r="O935" s="6">
        <v>17252.3</v>
      </c>
      <c r="P935" s="37">
        <v>1360000</v>
      </c>
    </row>
    <row r="936" spans="2:16" ht="15" thickBot="1">
      <c r="B936" s="9">
        <f t="shared" si="89"/>
        <v>20</v>
      </c>
      <c r="C936" s="15">
        <f t="shared" si="84"/>
        <v>2</v>
      </c>
      <c r="D936" s="25">
        <f t="shared" si="85"/>
        <v>41303</v>
      </c>
      <c r="E936" s="16">
        <f t="shared" si="86"/>
        <v>-5.7270856509405998E-4</v>
      </c>
      <c r="F936" s="17">
        <f t="shared" si="87"/>
        <v>-3.0730703492853895E-4</v>
      </c>
      <c r="G936" s="18">
        <f t="shared" si="88"/>
        <v>2.6540153016552104E-4</v>
      </c>
      <c r="J936" s="28"/>
      <c r="K936" s="8">
        <v>41303</v>
      </c>
      <c r="L936" s="7">
        <v>17891.91</v>
      </c>
      <c r="M936" s="6">
        <v>17887.16</v>
      </c>
      <c r="N936" s="6">
        <v>17937.169999999998</v>
      </c>
      <c r="O936" s="6">
        <v>17733.28</v>
      </c>
      <c r="P936" s="37">
        <v>1220000</v>
      </c>
    </row>
    <row r="937" spans="2:16" ht="15" thickBot="1">
      <c r="B937" s="9">
        <f t="shared" si="89"/>
        <v>19</v>
      </c>
      <c r="C937" s="15">
        <f t="shared" si="84"/>
        <v>1</v>
      </c>
      <c r="D937" s="25">
        <f t="shared" si="85"/>
        <v>41302</v>
      </c>
      <c r="E937" s="16">
        <f t="shared" si="86"/>
        <v>4.2252194265324228E-3</v>
      </c>
      <c r="F937" s="17">
        <f t="shared" si="87"/>
        <v>9.6192846009650612E-3</v>
      </c>
      <c r="G937" s="18">
        <f t="shared" si="88"/>
        <v>5.3940651744326384E-3</v>
      </c>
      <c r="J937" s="28"/>
      <c r="K937" s="8">
        <v>41302</v>
      </c>
      <c r="L937" s="5">
        <v>17897.41</v>
      </c>
      <c r="M937" s="6">
        <v>17801.79</v>
      </c>
      <c r="N937" s="6">
        <v>17924.919999999998</v>
      </c>
      <c r="O937" s="6">
        <v>17756.099999999999</v>
      </c>
      <c r="P937" s="37">
        <v>1720000</v>
      </c>
    </row>
    <row r="938" spans="2:16" ht="15" thickBot="1">
      <c r="B938" s="9">
        <f t="shared" si="89"/>
        <v>18</v>
      </c>
      <c r="C938" s="15">
        <f t="shared" si="84"/>
        <v>5</v>
      </c>
      <c r="D938" s="25">
        <f t="shared" si="85"/>
        <v>41299</v>
      </c>
      <c r="E938" s="16">
        <f t="shared" si="86"/>
        <v>-1.1590037073476722E-3</v>
      </c>
      <c r="F938" s="17">
        <f t="shared" si="87"/>
        <v>-1.6748673594033647E-3</v>
      </c>
      <c r="G938" s="18">
        <f t="shared" si="88"/>
        <v>-5.1586365205569251E-4</v>
      </c>
      <c r="J938" s="28"/>
      <c r="K938" s="8">
        <v>41299</v>
      </c>
      <c r="L938" s="7">
        <v>17726.89</v>
      </c>
      <c r="M938" s="6">
        <v>17736.05</v>
      </c>
      <c r="N938" s="6">
        <v>17876</v>
      </c>
      <c r="O938" s="6">
        <v>17662.88</v>
      </c>
      <c r="P938" s="37">
        <v>2330000</v>
      </c>
    </row>
    <row r="939" spans="2:16" ht="15" thickBot="1">
      <c r="B939" s="9">
        <f t="shared" si="89"/>
        <v>17</v>
      </c>
      <c r="C939" s="15">
        <f t="shared" si="84"/>
        <v>4</v>
      </c>
      <c r="D939" s="25">
        <f t="shared" si="85"/>
        <v>41298</v>
      </c>
      <c r="E939" s="16">
        <f t="shared" si="86"/>
        <v>-2.7510097275158518E-3</v>
      </c>
      <c r="F939" s="17">
        <f t="shared" si="87"/>
        <v>1.0104670345298494E-2</v>
      </c>
      <c r="G939" s="18">
        <f t="shared" si="88"/>
        <v>1.2855680072814346E-2</v>
      </c>
      <c r="J939" s="28"/>
      <c r="K939" s="8">
        <v>41298</v>
      </c>
      <c r="L939" s="5">
        <v>17756.63</v>
      </c>
      <c r="M939" s="6">
        <v>17530.64</v>
      </c>
      <c r="N939" s="6">
        <v>17765.650000000001</v>
      </c>
      <c r="O939" s="6">
        <v>17456.349999999999</v>
      </c>
      <c r="P939" s="37">
        <v>1560000</v>
      </c>
    </row>
    <row r="940" spans="2:16" ht="15" thickBot="1">
      <c r="B940" s="9">
        <f t="shared" si="89"/>
        <v>16</v>
      </c>
      <c r="C940" s="15">
        <f t="shared" si="84"/>
        <v>3</v>
      </c>
      <c r="D940" s="25">
        <f t="shared" si="85"/>
        <v>41297</v>
      </c>
      <c r="E940" s="16">
        <f t="shared" si="86"/>
        <v>1.8982947521717364E-3</v>
      </c>
      <c r="F940" s="17">
        <f t="shared" si="87"/>
        <v>-7.7275216048861006E-3</v>
      </c>
      <c r="G940" s="18">
        <f t="shared" si="88"/>
        <v>-9.625816357057837E-3</v>
      </c>
      <c r="J940" s="28"/>
      <c r="K940" s="8">
        <v>41297</v>
      </c>
      <c r="L940" s="7">
        <v>17579</v>
      </c>
      <c r="M940" s="6">
        <v>17749.53</v>
      </c>
      <c r="N940" s="6">
        <v>17752.55</v>
      </c>
      <c r="O940" s="6">
        <v>17555.099999999999</v>
      </c>
      <c r="P940" s="37">
        <v>1550000</v>
      </c>
    </row>
    <row r="941" spans="2:16" ht="15" thickBot="1">
      <c r="B941" s="9">
        <f t="shared" si="89"/>
        <v>15</v>
      </c>
      <c r="C941" s="15">
        <f t="shared" si="84"/>
        <v>2</v>
      </c>
      <c r="D941" s="25">
        <f t="shared" si="85"/>
        <v>41296</v>
      </c>
      <c r="E941" s="16">
        <f t="shared" si="86"/>
        <v>7.9401133961098935E-6</v>
      </c>
      <c r="F941" s="17">
        <f t="shared" si="87"/>
        <v>4.7589636790854595E-3</v>
      </c>
      <c r="G941" s="18">
        <f t="shared" si="88"/>
        <v>4.7510235656893496E-3</v>
      </c>
      <c r="J941" s="28"/>
      <c r="K941" s="8">
        <v>41296</v>
      </c>
      <c r="L941" s="5">
        <v>17715.900000000001</v>
      </c>
      <c r="M941" s="6">
        <v>17632.13</v>
      </c>
      <c r="N941" s="6">
        <v>17764.689999999999</v>
      </c>
      <c r="O941" s="6">
        <v>17394.240000000002</v>
      </c>
      <c r="P941" s="37">
        <v>1360000</v>
      </c>
    </row>
    <row r="942" spans="2:16" ht="15" thickBot="1">
      <c r="B942" s="9">
        <f t="shared" si="89"/>
        <v>14</v>
      </c>
      <c r="C942" s="15">
        <f t="shared" si="84"/>
        <v>1</v>
      </c>
      <c r="D942" s="25">
        <f t="shared" si="85"/>
        <v>41295</v>
      </c>
      <c r="E942" s="16">
        <f t="shared" si="86"/>
        <v>2.3310753651704097E-3</v>
      </c>
      <c r="F942" s="17">
        <f t="shared" si="87"/>
        <v>4.4354234587531405E-3</v>
      </c>
      <c r="G942" s="18">
        <f t="shared" si="88"/>
        <v>2.1043480935827308E-3</v>
      </c>
      <c r="J942" s="28"/>
      <c r="K942" s="8">
        <v>41295</v>
      </c>
      <c r="L942" s="5">
        <v>17631.990000000002</v>
      </c>
      <c r="M942" s="6">
        <v>17595.05</v>
      </c>
      <c r="N942" s="6">
        <v>17638.38</v>
      </c>
      <c r="O942" s="6">
        <v>17480.330000000002</v>
      </c>
      <c r="P942" s="37">
        <v>623070</v>
      </c>
    </row>
    <row r="943" spans="2:16" ht="15" thickBot="1">
      <c r="B943" s="9">
        <f t="shared" si="89"/>
        <v>13</v>
      </c>
      <c r="C943" s="15">
        <f t="shared" si="84"/>
        <v>5</v>
      </c>
      <c r="D943" s="25">
        <f t="shared" si="85"/>
        <v>41292</v>
      </c>
      <c r="E943" s="16">
        <f t="shared" si="86"/>
        <v>6.21981139853367E-3</v>
      </c>
      <c r="F943" s="17">
        <f t="shared" si="87"/>
        <v>-1.8888576164116655E-3</v>
      </c>
      <c r="G943" s="18">
        <f t="shared" si="88"/>
        <v>-8.1086690149453355E-3</v>
      </c>
      <c r="J943" s="28"/>
      <c r="K943" s="8">
        <v>41292</v>
      </c>
      <c r="L943" s="7">
        <v>17554.13</v>
      </c>
      <c r="M943" s="6">
        <v>17696.740000000002</v>
      </c>
      <c r="N943" s="6">
        <v>17709.05</v>
      </c>
      <c r="O943" s="6">
        <v>17483.310000000001</v>
      </c>
      <c r="P943" s="37">
        <v>977540</v>
      </c>
    </row>
    <row r="944" spans="2:16" ht="15" thickBot="1">
      <c r="B944" s="9">
        <f t="shared" si="89"/>
        <v>12</v>
      </c>
      <c r="C944" s="15">
        <f t="shared" si="84"/>
        <v>4</v>
      </c>
      <c r="D944" s="25">
        <f t="shared" si="85"/>
        <v>41291</v>
      </c>
      <c r="E944" s="16">
        <f t="shared" si="86"/>
        <v>2.3241128146267442E-4</v>
      </c>
      <c r="F944" s="17">
        <f t="shared" si="87"/>
        <v>1.4267630529499753E-2</v>
      </c>
      <c r="G944" s="18">
        <f t="shared" si="88"/>
        <v>1.4035219248037079E-2</v>
      </c>
      <c r="J944" s="28"/>
      <c r="K944" s="8">
        <v>41291</v>
      </c>
      <c r="L944" s="5">
        <v>17587.349999999999</v>
      </c>
      <c r="M944" s="6">
        <v>17343.98</v>
      </c>
      <c r="N944" s="6">
        <v>17587.349999999999</v>
      </c>
      <c r="O944" s="6">
        <v>17323.900000000001</v>
      </c>
      <c r="P944" s="37">
        <v>923610</v>
      </c>
    </row>
    <row r="945" spans="2:16" ht="15" thickBot="1">
      <c r="B945" s="9">
        <f t="shared" si="89"/>
        <v>11</v>
      </c>
      <c r="C945" s="15">
        <f t="shared" si="84"/>
        <v>3</v>
      </c>
      <c r="D945" s="25">
        <f t="shared" si="85"/>
        <v>41290</v>
      </c>
      <c r="E945" s="16">
        <f t="shared" si="86"/>
        <v>-2.1748987260897801E-3</v>
      </c>
      <c r="F945" s="17">
        <f t="shared" si="87"/>
        <v>-7.3009959078240705E-3</v>
      </c>
      <c r="G945" s="18">
        <f t="shared" si="88"/>
        <v>-5.1260971817342904E-3</v>
      </c>
      <c r="J945" s="28"/>
      <c r="K945" s="8">
        <v>41290</v>
      </c>
      <c r="L945" s="7">
        <v>17339.95</v>
      </c>
      <c r="M945" s="6">
        <v>17429.490000000002</v>
      </c>
      <c r="N945" s="6">
        <v>17450.39</v>
      </c>
      <c r="O945" s="6">
        <v>17195.88</v>
      </c>
      <c r="P945" s="37">
        <v>1100000</v>
      </c>
    </row>
    <row r="946" spans="2:16" ht="15" thickBot="1">
      <c r="B946" s="9">
        <f t="shared" si="89"/>
        <v>10</v>
      </c>
      <c r="C946" s="15">
        <f t="shared" si="84"/>
        <v>2</v>
      </c>
      <c r="D946" s="25">
        <f t="shared" si="85"/>
        <v>41289</v>
      </c>
      <c r="E946" s="16">
        <f t="shared" si="86"/>
        <v>-3.3729624799612168E-3</v>
      </c>
      <c r="F946" s="17">
        <f t="shared" si="87"/>
        <v>4.3838162201199626E-3</v>
      </c>
      <c r="G946" s="18">
        <f t="shared" si="88"/>
        <v>7.7567787000811794E-3</v>
      </c>
      <c r="J946" s="28"/>
      <c r="K946" s="8">
        <v>41289</v>
      </c>
      <c r="L946" s="5">
        <v>17467.48</v>
      </c>
      <c r="M946" s="6">
        <v>17332.580000000002</v>
      </c>
      <c r="N946" s="6">
        <v>17489.98</v>
      </c>
      <c r="O946" s="6">
        <v>17295.11</v>
      </c>
      <c r="P946" s="37">
        <v>1080000</v>
      </c>
    </row>
    <row r="947" spans="2:16" ht="15" thickBot="1">
      <c r="B947" s="9">
        <f t="shared" si="89"/>
        <v>9</v>
      </c>
      <c r="C947" s="15">
        <f t="shared" si="84"/>
        <v>1</v>
      </c>
      <c r="D947" s="25">
        <f t="shared" si="85"/>
        <v>41288</v>
      </c>
      <c r="E947" s="16">
        <f t="shared" si="86"/>
        <v>4.2199950978123457E-3</v>
      </c>
      <c r="F947" s="17">
        <f t="shared" si="87"/>
        <v>-6.3505612662040356E-3</v>
      </c>
      <c r="G947" s="18">
        <f t="shared" si="88"/>
        <v>-1.0570556364016381E-2</v>
      </c>
      <c r="J947" s="28"/>
      <c r="K947" s="8">
        <v>41288</v>
      </c>
      <c r="L947" s="7">
        <v>17391.240000000002</v>
      </c>
      <c r="M947" s="6">
        <v>17576.25</v>
      </c>
      <c r="N947" s="6">
        <v>17683.919999999998</v>
      </c>
      <c r="O947" s="6">
        <v>17270.490000000002</v>
      </c>
      <c r="P947" s="37">
        <v>1330000</v>
      </c>
    </row>
    <row r="948" spans="2:16" ht="15" thickBot="1">
      <c r="B948" s="9">
        <f t="shared" si="89"/>
        <v>8</v>
      </c>
      <c r="C948" s="15">
        <f t="shared" si="84"/>
        <v>5</v>
      </c>
      <c r="D948" s="25">
        <f t="shared" si="85"/>
        <v>41285</v>
      </c>
      <c r="E948" s="16">
        <f t="shared" si="86"/>
        <v>4.4851118011675073E-3</v>
      </c>
      <c r="F948" s="17">
        <f t="shared" si="87"/>
        <v>2.9407938882830553E-3</v>
      </c>
      <c r="G948" s="18">
        <f t="shared" si="88"/>
        <v>-1.544317912884452E-3</v>
      </c>
      <c r="J948" s="28"/>
      <c r="K948" s="8">
        <v>41285</v>
      </c>
      <c r="L948" s="5">
        <v>17502.39</v>
      </c>
      <c r="M948" s="6">
        <v>17529.34</v>
      </c>
      <c r="N948" s="6">
        <v>17550.310000000001</v>
      </c>
      <c r="O948" s="6">
        <v>17334.43</v>
      </c>
      <c r="P948" s="37">
        <v>1090000</v>
      </c>
    </row>
    <row r="949" spans="2:16" ht="15" thickBot="1">
      <c r="B949" s="9">
        <f t="shared" si="89"/>
        <v>7</v>
      </c>
      <c r="C949" s="15">
        <f t="shared" si="84"/>
        <v>4</v>
      </c>
      <c r="D949" s="25">
        <f t="shared" si="85"/>
        <v>41284</v>
      </c>
      <c r="E949" s="16">
        <f t="shared" si="86"/>
        <v>4.1618882771652377E-3</v>
      </c>
      <c r="F949" s="17">
        <f t="shared" si="87"/>
        <v>7.2029351960922749E-3</v>
      </c>
      <c r="G949" s="18">
        <f t="shared" si="88"/>
        <v>3.0410469189270373E-3</v>
      </c>
      <c r="J949" s="28"/>
      <c r="K949" s="8">
        <v>41284</v>
      </c>
      <c r="L949" s="5">
        <v>17451.07</v>
      </c>
      <c r="M949" s="6">
        <v>17398.38</v>
      </c>
      <c r="N949" s="6">
        <v>17561.79</v>
      </c>
      <c r="O949" s="6">
        <v>17231.669999999998</v>
      </c>
      <c r="P949" s="37">
        <v>1600000</v>
      </c>
    </row>
    <row r="950" spans="2:16" ht="15" thickBot="1">
      <c r="B950" s="9">
        <f t="shared" si="89"/>
        <v>6</v>
      </c>
      <c r="C950" s="15">
        <f t="shared" si="84"/>
        <v>3</v>
      </c>
      <c r="D950" s="25">
        <f t="shared" si="85"/>
        <v>41283</v>
      </c>
      <c r="E950" s="16">
        <f t="shared" si="86"/>
        <v>5.181362433441139E-3</v>
      </c>
      <c r="F950" s="17">
        <f t="shared" si="87"/>
        <v>2.2130075027402274E-2</v>
      </c>
      <c r="G950" s="18">
        <f t="shared" si="88"/>
        <v>1.6948712593961135E-2</v>
      </c>
      <c r="J950" s="28"/>
      <c r="K950" s="8">
        <v>41283</v>
      </c>
      <c r="L950" s="5">
        <v>17326.27</v>
      </c>
      <c r="M950" s="6">
        <v>17038.97</v>
      </c>
      <c r="N950" s="6">
        <v>17326.27</v>
      </c>
      <c r="O950" s="6">
        <v>17035.13</v>
      </c>
      <c r="P950" s="37">
        <v>1640000</v>
      </c>
    </row>
    <row r="951" spans="2:16" ht="15" thickBot="1">
      <c r="B951" s="9">
        <f t="shared" si="89"/>
        <v>5</v>
      </c>
      <c r="C951" s="15">
        <f t="shared" si="84"/>
        <v>2</v>
      </c>
      <c r="D951" s="25">
        <f t="shared" si="85"/>
        <v>41282</v>
      </c>
      <c r="E951" s="16">
        <f t="shared" si="86"/>
        <v>-2.6675489445218137E-3</v>
      </c>
      <c r="F951" s="17">
        <f t="shared" si="87"/>
        <v>3.2836835021536892E-3</v>
      </c>
      <c r="G951" s="18">
        <f t="shared" si="88"/>
        <v>5.9512324466755029E-3</v>
      </c>
      <c r="J951" s="28"/>
      <c r="K951" s="8">
        <v>41282</v>
      </c>
      <c r="L951" s="5">
        <v>16951.14</v>
      </c>
      <c r="M951" s="6">
        <v>16850.59</v>
      </c>
      <c r="N951" s="6">
        <v>17082</v>
      </c>
      <c r="O951" s="6">
        <v>16815.41</v>
      </c>
      <c r="P951" s="37">
        <v>1340000</v>
      </c>
    </row>
    <row r="952" spans="2:16" ht="15" thickBot="1">
      <c r="B952" s="9">
        <f t="shared" si="89"/>
        <v>4</v>
      </c>
      <c r="C952" s="15">
        <f t="shared" si="84"/>
        <v>1</v>
      </c>
      <c r="D952" s="25">
        <f t="shared" si="85"/>
        <v>41281</v>
      </c>
      <c r="E952" s="16">
        <f t="shared" si="86"/>
        <v>1.9581621931417104E-3</v>
      </c>
      <c r="F952" s="17">
        <f t="shared" si="87"/>
        <v>-3.780709419579642E-3</v>
      </c>
      <c r="G952" s="18">
        <f t="shared" si="88"/>
        <v>-5.7388716127213524E-3</v>
      </c>
      <c r="J952" s="28"/>
      <c r="K952" s="8">
        <v>41281</v>
      </c>
      <c r="L952" s="7">
        <v>16895.66</v>
      </c>
      <c r="M952" s="6">
        <v>16992.990000000002</v>
      </c>
      <c r="N952" s="6">
        <v>17103.12</v>
      </c>
      <c r="O952" s="6">
        <v>16873.439999999999</v>
      </c>
      <c r="P952" s="37">
        <v>1990000</v>
      </c>
    </row>
    <row r="953" spans="2:16" ht="15" thickBot="1">
      <c r="B953" s="9">
        <f t="shared" si="89"/>
        <v>3</v>
      </c>
      <c r="C953" s="15">
        <f t="shared" si="84"/>
        <v>5</v>
      </c>
      <c r="D953" s="25">
        <f t="shared" si="85"/>
        <v>41278</v>
      </c>
      <c r="E953" s="16">
        <f t="shared" si="86"/>
        <v>-7.0136719292868133E-4</v>
      </c>
      <c r="F953" s="17">
        <f t="shared" si="87"/>
        <v>2.9539031439107521E-3</v>
      </c>
      <c r="G953" s="18">
        <f t="shared" si="88"/>
        <v>3.6552703368394335E-3</v>
      </c>
      <c r="J953" s="28"/>
      <c r="K953" s="8">
        <v>41278</v>
      </c>
      <c r="L953" s="5">
        <v>16959.78</v>
      </c>
      <c r="M953" s="6">
        <v>16897.97</v>
      </c>
      <c r="N953" s="6">
        <v>16970.16</v>
      </c>
      <c r="O953" s="6">
        <v>16795.66</v>
      </c>
      <c r="P953" s="37">
        <v>1520000</v>
      </c>
    </row>
    <row r="954" spans="2:16" ht="15" thickBot="1">
      <c r="B954" s="9">
        <f>B955+1</f>
        <v>2</v>
      </c>
      <c r="C954" s="15">
        <f t="shared" si="84"/>
        <v>4</v>
      </c>
      <c r="D954" s="25">
        <f t="shared" si="85"/>
        <v>41277</v>
      </c>
      <c r="E954" s="16">
        <f t="shared" si="86"/>
        <v>-1.5852354086419718E-3</v>
      </c>
      <c r="F954" s="17">
        <f t="shared" si="87"/>
        <v>9.731616922359354E-4</v>
      </c>
      <c r="G954" s="18">
        <f t="shared" si="88"/>
        <v>2.5583971008779072E-3</v>
      </c>
      <c r="J954" s="28"/>
      <c r="K954" s="8">
        <v>41277</v>
      </c>
      <c r="L954" s="5">
        <v>16909.830000000002</v>
      </c>
      <c r="M954" s="6">
        <v>16866.61</v>
      </c>
      <c r="N954" s="6">
        <v>16915.36</v>
      </c>
      <c r="O954" s="6">
        <v>16781.97</v>
      </c>
      <c r="P954" s="37">
        <v>754310</v>
      </c>
    </row>
    <row r="955" spans="2:16">
      <c r="B955" s="19">
        <v>1</v>
      </c>
      <c r="C955" s="20">
        <f t="shared" si="84"/>
        <v>3</v>
      </c>
      <c r="D955" s="26">
        <f t="shared" si="85"/>
        <v>41276</v>
      </c>
      <c r="E955" s="21"/>
      <c r="F955" s="22"/>
      <c r="G955" s="23"/>
      <c r="H955" s="24"/>
      <c r="J955" s="28"/>
      <c r="K955" s="8">
        <v>41276</v>
      </c>
      <c r="L955" s="5">
        <v>16893.39</v>
      </c>
      <c r="M955" s="6">
        <v>16583.43</v>
      </c>
      <c r="N955" s="6">
        <v>16893.39</v>
      </c>
      <c r="O955" s="6">
        <v>16573.07</v>
      </c>
      <c r="P955" s="37">
        <v>998290</v>
      </c>
    </row>
    <row r="956" spans="2:16">
      <c r="D956" s="27"/>
      <c r="J956" s="28"/>
    </row>
    <row r="957" spans="2:16">
      <c r="D957" s="27"/>
    </row>
    <row r="958" spans="2:16">
      <c r="D958" s="27"/>
    </row>
    <row r="959" spans="2:16">
      <c r="D959" s="27"/>
    </row>
    <row r="960" spans="2:16">
      <c r="D960" s="27"/>
    </row>
    <row r="961" spans="4:4">
      <c r="D961" s="27"/>
    </row>
    <row r="962" spans="4:4">
      <c r="D962" s="27"/>
    </row>
    <row r="963" spans="4:4">
      <c r="D963" s="27"/>
    </row>
    <row r="964" spans="4:4">
      <c r="D964" s="27"/>
    </row>
    <row r="965" spans="4:4">
      <c r="D965" s="27"/>
    </row>
    <row r="966" spans="4:4">
      <c r="D966" s="27"/>
    </row>
    <row r="967" spans="4:4">
      <c r="D967" s="27"/>
    </row>
    <row r="968" spans="4:4">
      <c r="D968" s="27"/>
    </row>
    <row r="969" spans="4:4">
      <c r="D969" s="27"/>
    </row>
    <row r="970" spans="4:4">
      <c r="D970" s="27"/>
    </row>
    <row r="971" spans="4:4">
      <c r="D971" s="27"/>
    </row>
    <row r="972" spans="4:4">
      <c r="D972" s="27"/>
    </row>
    <row r="973" spans="4:4">
      <c r="D973" s="27"/>
    </row>
    <row r="974" spans="4:4">
      <c r="D974" s="27"/>
    </row>
    <row r="975" spans="4:4">
      <c r="D975" s="27"/>
    </row>
    <row r="976" spans="4:4">
      <c r="D976" s="27"/>
    </row>
    <row r="977" spans="4:4">
      <c r="D977" s="27"/>
    </row>
    <row r="978" spans="4:4">
      <c r="D978" s="27"/>
    </row>
    <row r="979" spans="4:4">
      <c r="D979" s="27"/>
    </row>
    <row r="980" spans="4:4">
      <c r="D980" s="27"/>
    </row>
    <row r="981" spans="4:4">
      <c r="D981" s="27"/>
    </row>
    <row r="982" spans="4:4">
      <c r="D982" s="27"/>
    </row>
    <row r="983" spans="4:4">
      <c r="D983" s="27"/>
    </row>
    <row r="984" spans="4:4">
      <c r="D984" s="27"/>
    </row>
    <row r="985" spans="4:4">
      <c r="D985" s="27"/>
    </row>
    <row r="986" spans="4:4">
      <c r="D986" s="27"/>
    </row>
    <row r="987" spans="4:4">
      <c r="D987" s="27"/>
    </row>
    <row r="988" spans="4:4">
      <c r="D988" s="27"/>
    </row>
    <row r="989" spans="4:4">
      <c r="D989" s="27"/>
    </row>
    <row r="990" spans="4:4">
      <c r="D990" s="27"/>
    </row>
    <row r="991" spans="4:4">
      <c r="D991" s="27"/>
    </row>
    <row r="992" spans="4:4">
      <c r="D992" s="27"/>
    </row>
    <row r="993" spans="4:4">
      <c r="D993" s="27"/>
    </row>
    <row r="994" spans="4:4">
      <c r="D994" s="27"/>
    </row>
    <row r="995" spans="4:4">
      <c r="D995" s="27"/>
    </row>
    <row r="996" spans="4:4">
      <c r="D996" s="27"/>
    </row>
    <row r="997" spans="4:4">
      <c r="D997" s="27"/>
    </row>
    <row r="998" spans="4:4">
      <c r="D998" s="27"/>
    </row>
    <row r="999" spans="4:4">
      <c r="D999" s="27"/>
    </row>
    <row r="1000" spans="4:4">
      <c r="D1000" s="27"/>
    </row>
    <row r="1001" spans="4:4">
      <c r="D1001" s="27"/>
    </row>
    <row r="1002" spans="4:4">
      <c r="D1002" s="27"/>
    </row>
    <row r="1003" spans="4:4">
      <c r="D1003" s="27"/>
    </row>
    <row r="1004" spans="4:4">
      <c r="D1004" s="27"/>
    </row>
    <row r="1005" spans="4:4">
      <c r="D1005" s="27"/>
    </row>
    <row r="1006" spans="4:4">
      <c r="D1006" s="27"/>
    </row>
    <row r="1007" spans="4:4">
      <c r="D1007" s="27"/>
    </row>
    <row r="1008" spans="4:4">
      <c r="D1008" s="27"/>
    </row>
    <row r="1009" spans="4:4">
      <c r="D1009" s="27"/>
    </row>
    <row r="1010" spans="4:4">
      <c r="D1010" s="27"/>
    </row>
    <row r="1011" spans="4:4">
      <c r="D1011" s="27"/>
    </row>
    <row r="1012" spans="4:4">
      <c r="D1012" s="27"/>
    </row>
    <row r="1013" spans="4:4">
      <c r="D1013" s="27"/>
    </row>
    <row r="1014" spans="4:4">
      <c r="D1014" s="27"/>
    </row>
    <row r="1015" spans="4:4">
      <c r="D1015" s="27"/>
    </row>
    <row r="1016" spans="4:4">
      <c r="D1016" s="27"/>
    </row>
    <row r="1017" spans="4:4">
      <c r="D1017" s="27"/>
    </row>
    <row r="1018" spans="4:4">
      <c r="D1018" s="27"/>
    </row>
    <row r="1019" spans="4:4">
      <c r="D1019" s="27"/>
    </row>
    <row r="1020" spans="4:4">
      <c r="D1020" s="27"/>
    </row>
    <row r="1021" spans="4:4">
      <c r="D1021" s="27"/>
    </row>
    <row r="1022" spans="4:4">
      <c r="D1022" s="27"/>
    </row>
    <row r="1023" spans="4:4">
      <c r="D1023" s="27"/>
    </row>
    <row r="1024" spans="4:4">
      <c r="D1024" s="27"/>
    </row>
    <row r="1025" spans="4:4">
      <c r="D1025" s="27"/>
    </row>
    <row r="1026" spans="4:4">
      <c r="D1026" s="27"/>
    </row>
    <row r="1027" spans="4:4">
      <c r="D1027" s="27"/>
    </row>
    <row r="1028" spans="4:4">
      <c r="D1028" s="27"/>
    </row>
    <row r="1029" spans="4:4">
      <c r="D1029" s="27"/>
    </row>
    <row r="1030" spans="4:4">
      <c r="D1030" s="27"/>
    </row>
    <row r="1031" spans="4:4">
      <c r="D1031" s="27"/>
    </row>
    <row r="1032" spans="4:4">
      <c r="D1032" s="27"/>
    </row>
    <row r="1033" spans="4:4">
      <c r="D1033" s="27"/>
    </row>
    <row r="1034" spans="4:4">
      <c r="D1034" s="27"/>
    </row>
    <row r="1035" spans="4:4">
      <c r="D1035" s="27"/>
    </row>
    <row r="1036" spans="4:4">
      <c r="D1036" s="27"/>
    </row>
    <row r="1037" spans="4:4">
      <c r="D1037" s="27"/>
    </row>
    <row r="1038" spans="4:4">
      <c r="D1038" s="27"/>
    </row>
    <row r="1039" spans="4:4">
      <c r="D1039" s="27"/>
    </row>
    <row r="1040" spans="4:4">
      <c r="D1040" s="27"/>
    </row>
    <row r="1041" spans="4:4">
      <c r="D1041" s="27"/>
    </row>
    <row r="1042" spans="4:4">
      <c r="D1042" s="27"/>
    </row>
    <row r="1043" spans="4:4">
      <c r="D1043" s="27"/>
    </row>
    <row r="1044" spans="4:4">
      <c r="D1044" s="27"/>
    </row>
    <row r="1045" spans="4:4">
      <c r="D1045" s="27"/>
    </row>
    <row r="1046" spans="4:4">
      <c r="D1046" s="27"/>
    </row>
    <row r="1047" spans="4:4">
      <c r="D1047" s="27"/>
    </row>
    <row r="1048" spans="4:4">
      <c r="D1048" s="27"/>
    </row>
    <row r="1049" spans="4:4">
      <c r="D1049" s="27"/>
    </row>
    <row r="1050" spans="4:4">
      <c r="D1050" s="27"/>
    </row>
    <row r="1051" spans="4:4">
      <c r="D1051" s="27"/>
    </row>
    <row r="1052" spans="4:4">
      <c r="D1052" s="27"/>
    </row>
    <row r="1053" spans="4:4">
      <c r="D1053" s="27"/>
    </row>
    <row r="1054" spans="4:4">
      <c r="D1054" s="27"/>
    </row>
    <row r="1055" spans="4:4">
      <c r="D1055" s="27"/>
    </row>
    <row r="1056" spans="4:4">
      <c r="D1056" s="27"/>
    </row>
    <row r="1057" spans="4:4">
      <c r="D1057" s="27"/>
    </row>
    <row r="1058" spans="4:4">
      <c r="D1058" s="27"/>
    </row>
    <row r="1059" spans="4:4">
      <c r="D1059" s="27"/>
    </row>
    <row r="1060" spans="4:4">
      <c r="D1060" s="27"/>
    </row>
    <row r="1061" spans="4:4">
      <c r="D1061" s="27"/>
    </row>
    <row r="1062" spans="4:4">
      <c r="D1062" s="27"/>
    </row>
    <row r="1063" spans="4:4">
      <c r="D1063" s="27"/>
    </row>
    <row r="1064" spans="4:4">
      <c r="D1064" s="27"/>
    </row>
    <row r="1065" spans="4:4">
      <c r="D1065" s="27"/>
    </row>
    <row r="1066" spans="4:4">
      <c r="D1066" s="27"/>
    </row>
    <row r="1067" spans="4:4">
      <c r="D1067" s="27"/>
    </row>
    <row r="1068" spans="4:4">
      <c r="D1068" s="27"/>
    </row>
    <row r="1069" spans="4:4">
      <c r="D1069" s="27"/>
    </row>
    <row r="1070" spans="4:4">
      <c r="D1070" s="27"/>
    </row>
    <row r="1071" spans="4:4">
      <c r="D1071" s="27"/>
    </row>
    <row r="1072" spans="4:4">
      <c r="D1072" s="27"/>
    </row>
    <row r="1073" spans="4:4">
      <c r="D1073" s="27"/>
    </row>
    <row r="1074" spans="4:4">
      <c r="D1074" s="27"/>
    </row>
    <row r="1075" spans="4:4">
      <c r="D1075" s="27"/>
    </row>
    <row r="1076" spans="4:4">
      <c r="D1076" s="27"/>
    </row>
    <row r="1077" spans="4:4">
      <c r="D1077" s="27"/>
    </row>
    <row r="1078" spans="4:4">
      <c r="D1078" s="27"/>
    </row>
    <row r="1079" spans="4:4">
      <c r="D1079" s="27"/>
    </row>
    <row r="1080" spans="4:4">
      <c r="D1080" s="27"/>
    </row>
    <row r="1081" spans="4:4">
      <c r="D1081" s="27"/>
    </row>
    <row r="1082" spans="4:4">
      <c r="D1082" s="27"/>
    </row>
    <row r="1083" spans="4:4">
      <c r="D1083" s="27"/>
    </row>
    <row r="1084" spans="4:4">
      <c r="D1084" s="27"/>
    </row>
    <row r="1085" spans="4:4">
      <c r="D1085" s="27"/>
    </row>
    <row r="1086" spans="4:4">
      <c r="D1086" s="27"/>
    </row>
    <row r="1087" spans="4:4">
      <c r="D1087" s="27"/>
    </row>
    <row r="1088" spans="4:4">
      <c r="D1088" s="27"/>
    </row>
    <row r="1089" spans="4:4">
      <c r="D1089" s="27"/>
    </row>
    <row r="1090" spans="4:4">
      <c r="D1090" s="27"/>
    </row>
    <row r="1091" spans="4:4">
      <c r="D1091" s="27"/>
    </row>
    <row r="1092" spans="4:4">
      <c r="D1092" s="27"/>
    </row>
    <row r="1093" spans="4:4">
      <c r="D1093" s="27"/>
    </row>
    <row r="1094" spans="4:4">
      <c r="D1094" s="27"/>
    </row>
    <row r="1095" spans="4:4">
      <c r="D1095" s="27"/>
    </row>
    <row r="1096" spans="4:4">
      <c r="D1096" s="27"/>
    </row>
    <row r="1097" spans="4:4">
      <c r="D1097" s="27"/>
    </row>
    <row r="1098" spans="4:4">
      <c r="D1098" s="27"/>
    </row>
    <row r="1099" spans="4:4">
      <c r="D1099" s="27"/>
    </row>
    <row r="1100" spans="4:4">
      <c r="D1100" s="27"/>
    </row>
    <row r="1101" spans="4:4">
      <c r="D1101" s="27"/>
    </row>
    <row r="1102" spans="4:4">
      <c r="D1102" s="27"/>
    </row>
    <row r="1103" spans="4:4">
      <c r="D1103" s="27"/>
    </row>
    <row r="1104" spans="4:4">
      <c r="D1104" s="27"/>
    </row>
    <row r="1105" spans="4:4">
      <c r="D1105" s="27"/>
    </row>
    <row r="1106" spans="4:4">
      <c r="D1106" s="27"/>
    </row>
    <row r="1107" spans="4:4">
      <c r="D1107" s="27"/>
    </row>
    <row r="1108" spans="4:4">
      <c r="D1108" s="27"/>
    </row>
    <row r="1109" spans="4:4">
      <c r="D1109" s="27"/>
    </row>
    <row r="1110" spans="4:4">
      <c r="D1110" s="27"/>
    </row>
    <row r="1111" spans="4:4">
      <c r="D1111" s="27"/>
    </row>
    <row r="1112" spans="4:4">
      <c r="D1112" s="27"/>
    </row>
    <row r="1113" spans="4:4">
      <c r="D1113" s="27"/>
    </row>
    <row r="1114" spans="4:4">
      <c r="D1114" s="27"/>
    </row>
    <row r="1115" spans="4:4">
      <c r="D1115" s="27"/>
    </row>
    <row r="1116" spans="4:4">
      <c r="D1116" s="27"/>
    </row>
    <row r="1117" spans="4:4">
      <c r="D1117" s="27"/>
    </row>
    <row r="1118" spans="4:4">
      <c r="D1118" s="27"/>
    </row>
    <row r="1119" spans="4:4">
      <c r="D1119" s="27"/>
    </row>
    <row r="1120" spans="4:4">
      <c r="D1120" s="27"/>
    </row>
    <row r="1121" spans="4:4">
      <c r="D1121" s="27"/>
    </row>
    <row r="1122" spans="4:4">
      <c r="D1122" s="27"/>
    </row>
    <row r="1123" spans="4:4">
      <c r="D1123" s="27"/>
    </row>
    <row r="1124" spans="4:4">
      <c r="D1124" s="27"/>
    </row>
    <row r="1125" spans="4:4">
      <c r="D1125" s="27"/>
    </row>
    <row r="1126" spans="4:4">
      <c r="D1126" s="27"/>
    </row>
    <row r="1127" spans="4:4">
      <c r="D1127" s="27"/>
    </row>
    <row r="1128" spans="4:4">
      <c r="D1128" s="27"/>
    </row>
    <row r="1129" spans="4:4">
      <c r="D1129" s="27"/>
    </row>
    <row r="1130" spans="4:4">
      <c r="D1130" s="27"/>
    </row>
    <row r="1131" spans="4:4">
      <c r="D1131" s="27"/>
    </row>
    <row r="1132" spans="4:4">
      <c r="D1132" s="27"/>
    </row>
    <row r="1133" spans="4:4">
      <c r="D1133" s="27"/>
    </row>
    <row r="1134" spans="4:4">
      <c r="D1134" s="27"/>
    </row>
    <row r="1135" spans="4:4">
      <c r="D1135" s="27"/>
    </row>
    <row r="1136" spans="4:4">
      <c r="D1136" s="27"/>
    </row>
    <row r="1137" spans="4:4">
      <c r="D1137" s="27"/>
    </row>
    <row r="1138" spans="4:4">
      <c r="D1138" s="27"/>
    </row>
    <row r="1139" spans="4:4">
      <c r="D1139" s="27"/>
    </row>
    <row r="1140" spans="4:4">
      <c r="D1140" s="27"/>
    </row>
    <row r="1141" spans="4:4">
      <c r="D1141" s="27"/>
    </row>
    <row r="1142" spans="4:4">
      <c r="D1142" s="27"/>
    </row>
    <row r="1143" spans="4:4">
      <c r="D1143" s="27"/>
    </row>
    <row r="1144" spans="4:4">
      <c r="D1144" s="27"/>
    </row>
    <row r="1145" spans="4:4">
      <c r="D1145" s="27"/>
    </row>
    <row r="1146" spans="4:4">
      <c r="D1146" s="27"/>
    </row>
    <row r="1147" spans="4:4">
      <c r="D1147" s="27"/>
    </row>
    <row r="1148" spans="4:4">
      <c r="D1148" s="27"/>
    </row>
    <row r="1149" spans="4:4">
      <c r="D1149" s="27"/>
    </row>
    <row r="1150" spans="4:4">
      <c r="D1150" s="27"/>
    </row>
    <row r="1151" spans="4:4">
      <c r="D1151" s="27"/>
    </row>
    <row r="1152" spans="4:4">
      <c r="D1152" s="27"/>
    </row>
    <row r="1153" spans="4:4">
      <c r="D1153" s="27"/>
    </row>
    <row r="1154" spans="4:4">
      <c r="D1154" s="27"/>
    </row>
    <row r="1155" spans="4:4">
      <c r="D1155" s="27"/>
    </row>
    <row r="1156" spans="4:4">
      <c r="D1156" s="27"/>
    </row>
    <row r="1157" spans="4:4">
      <c r="D1157" s="27"/>
    </row>
    <row r="1158" spans="4:4">
      <c r="D1158" s="27"/>
    </row>
    <row r="1159" spans="4:4">
      <c r="D1159" s="27"/>
    </row>
    <row r="1160" spans="4:4">
      <c r="D1160" s="27"/>
    </row>
    <row r="1161" spans="4:4">
      <c r="D1161" s="27"/>
    </row>
    <row r="1162" spans="4:4">
      <c r="D1162" s="27"/>
    </row>
    <row r="1163" spans="4:4">
      <c r="D1163" s="27"/>
    </row>
    <row r="1164" spans="4:4">
      <c r="D1164" s="27"/>
    </row>
    <row r="1165" spans="4:4">
      <c r="D1165" s="27"/>
    </row>
    <row r="1166" spans="4:4">
      <c r="D1166" s="27"/>
    </row>
    <row r="1167" spans="4:4">
      <c r="D1167" s="27"/>
    </row>
    <row r="1168" spans="4:4">
      <c r="D1168" s="27"/>
    </row>
    <row r="1169" spans="4:4">
      <c r="D1169" s="27"/>
    </row>
    <row r="1170" spans="4:4">
      <c r="D1170" s="27"/>
    </row>
    <row r="1171" spans="4:4">
      <c r="D1171" s="27"/>
    </row>
    <row r="1172" spans="4:4">
      <c r="D1172" s="27"/>
    </row>
    <row r="1173" spans="4:4">
      <c r="D1173" s="27"/>
    </row>
    <row r="1174" spans="4:4">
      <c r="D1174" s="27"/>
    </row>
    <row r="1175" spans="4:4">
      <c r="D1175" s="27"/>
    </row>
    <row r="1176" spans="4:4">
      <c r="D1176" s="27"/>
    </row>
    <row r="1177" spans="4:4">
      <c r="D1177" s="27"/>
    </row>
    <row r="1178" spans="4:4">
      <c r="D1178" s="27"/>
    </row>
    <row r="1179" spans="4:4">
      <c r="D1179" s="27"/>
    </row>
    <row r="1180" spans="4:4">
      <c r="D1180" s="27"/>
    </row>
    <row r="1181" spans="4:4">
      <c r="D1181" s="27"/>
    </row>
    <row r="1182" spans="4:4">
      <c r="D1182" s="27"/>
    </row>
    <row r="1183" spans="4:4">
      <c r="D1183" s="27"/>
    </row>
    <row r="1184" spans="4:4">
      <c r="D1184" s="27"/>
    </row>
    <row r="1185" spans="4:4">
      <c r="D1185" s="27"/>
    </row>
    <row r="1186" spans="4:4">
      <c r="D1186" s="27"/>
    </row>
    <row r="1187" spans="4:4">
      <c r="D1187" s="27"/>
    </row>
    <row r="1188" spans="4:4">
      <c r="D1188" s="27"/>
    </row>
    <row r="1189" spans="4:4">
      <c r="D1189" s="27"/>
    </row>
    <row r="1190" spans="4:4">
      <c r="D1190" s="27"/>
    </row>
    <row r="1191" spans="4:4">
      <c r="D1191" s="27"/>
    </row>
    <row r="1192" spans="4:4">
      <c r="D1192" s="27"/>
    </row>
    <row r="1193" spans="4:4">
      <c r="D1193" s="27"/>
    </row>
    <row r="1194" spans="4:4">
      <c r="D1194" s="27"/>
    </row>
    <row r="1195" spans="4:4">
      <c r="D1195" s="27"/>
    </row>
    <row r="1196" spans="4:4">
      <c r="D1196" s="27"/>
    </row>
    <row r="1197" spans="4:4">
      <c r="D1197" s="27"/>
    </row>
    <row r="1198" spans="4:4">
      <c r="D1198" s="27"/>
    </row>
    <row r="1199" spans="4:4">
      <c r="D1199" s="27"/>
    </row>
    <row r="1200" spans="4:4">
      <c r="D1200" s="27"/>
    </row>
    <row r="1201" spans="4:4">
      <c r="D1201" s="27"/>
    </row>
    <row r="1202" spans="4:4">
      <c r="D1202" s="27"/>
    </row>
    <row r="1203" spans="4:4">
      <c r="D1203" s="27"/>
    </row>
    <row r="1204" spans="4:4">
      <c r="D1204" s="27"/>
    </row>
    <row r="1205" spans="4:4">
      <c r="D1205" s="27"/>
    </row>
    <row r="1206" spans="4:4">
      <c r="D1206" s="27"/>
    </row>
    <row r="1207" spans="4:4">
      <c r="D1207" s="27"/>
    </row>
    <row r="1208" spans="4:4">
      <c r="D1208" s="27"/>
    </row>
    <row r="1209" spans="4:4">
      <c r="D1209" s="27"/>
    </row>
    <row r="1210" spans="4:4">
      <c r="D1210" s="27"/>
    </row>
    <row r="1211" spans="4:4">
      <c r="D1211" s="27"/>
    </row>
    <row r="1212" spans="4:4">
      <c r="D1212" s="27"/>
    </row>
    <row r="1213" spans="4:4">
      <c r="D1213" s="27"/>
    </row>
    <row r="1214" spans="4:4">
      <c r="D1214" s="27"/>
    </row>
    <row r="1215" spans="4:4">
      <c r="D1215" s="27"/>
    </row>
    <row r="1216" spans="4:4">
      <c r="D1216" s="27"/>
    </row>
    <row r="1217" spans="4:4">
      <c r="D1217" s="27"/>
    </row>
    <row r="1218" spans="4:4">
      <c r="D1218" s="27"/>
    </row>
    <row r="1219" spans="4:4">
      <c r="D1219" s="27"/>
    </row>
    <row r="1220" spans="4:4">
      <c r="D1220" s="27"/>
    </row>
    <row r="1221" spans="4:4">
      <c r="D1221" s="27"/>
    </row>
    <row r="1222" spans="4:4">
      <c r="D1222" s="27"/>
    </row>
    <row r="1223" spans="4:4">
      <c r="D1223" s="27"/>
    </row>
    <row r="1224" spans="4:4">
      <c r="D1224" s="27"/>
    </row>
    <row r="1225" spans="4:4">
      <c r="D1225" s="27"/>
    </row>
    <row r="1226" spans="4:4">
      <c r="D1226" s="27"/>
    </row>
    <row r="1227" spans="4:4">
      <c r="D1227" s="27"/>
    </row>
    <row r="1228" spans="4:4">
      <c r="D1228" s="27"/>
    </row>
    <row r="1229" spans="4:4">
      <c r="D1229" s="27"/>
    </row>
    <row r="1230" spans="4:4">
      <c r="D1230" s="27"/>
    </row>
    <row r="1231" spans="4:4">
      <c r="D1231" s="27"/>
    </row>
    <row r="1232" spans="4:4">
      <c r="D1232" s="27"/>
    </row>
    <row r="1233" spans="4:4">
      <c r="D1233" s="27"/>
    </row>
    <row r="1234" spans="4:4">
      <c r="D1234" s="27"/>
    </row>
    <row r="1235" spans="4:4">
      <c r="D1235" s="27"/>
    </row>
    <row r="1236" spans="4:4">
      <c r="D1236" s="27"/>
    </row>
    <row r="1237" spans="4:4">
      <c r="D1237" s="27"/>
    </row>
    <row r="1238" spans="4:4">
      <c r="D1238" s="27"/>
    </row>
    <row r="1239" spans="4:4">
      <c r="D1239" s="27"/>
    </row>
    <row r="1240" spans="4:4">
      <c r="D1240" s="27"/>
    </row>
    <row r="1241" spans="4:4">
      <c r="D1241" s="27"/>
    </row>
    <row r="1242" spans="4:4">
      <c r="D1242" s="27"/>
    </row>
    <row r="1243" spans="4:4">
      <c r="D1243" s="27"/>
    </row>
    <row r="1244" spans="4:4">
      <c r="D1244" s="27"/>
    </row>
    <row r="1245" spans="4:4">
      <c r="D1245" s="27"/>
    </row>
    <row r="1246" spans="4:4">
      <c r="D1246" s="27"/>
    </row>
    <row r="1247" spans="4:4">
      <c r="D1247" s="27"/>
    </row>
    <row r="1248" spans="4:4">
      <c r="D1248" s="27"/>
    </row>
    <row r="1249" spans="4:4">
      <c r="D1249" s="27"/>
    </row>
    <row r="1250" spans="4:4">
      <c r="D1250" s="27"/>
    </row>
    <row r="1251" spans="4:4">
      <c r="D1251" s="27"/>
    </row>
    <row r="1252" spans="4:4">
      <c r="D1252" s="27"/>
    </row>
    <row r="1253" spans="4:4">
      <c r="D1253" s="27"/>
    </row>
    <row r="1254" spans="4:4">
      <c r="D1254" s="27"/>
    </row>
    <row r="1255" spans="4:4">
      <c r="D1255" s="27"/>
    </row>
    <row r="1256" spans="4:4">
      <c r="D1256" s="27"/>
    </row>
    <row r="1257" spans="4:4">
      <c r="D1257" s="27"/>
    </row>
    <row r="1258" spans="4:4">
      <c r="D1258" s="27"/>
    </row>
    <row r="1259" spans="4:4">
      <c r="D1259" s="27"/>
    </row>
    <row r="1260" spans="4:4">
      <c r="D1260" s="27"/>
    </row>
    <row r="1261" spans="4:4">
      <c r="D1261" s="27"/>
    </row>
    <row r="1262" spans="4:4">
      <c r="D1262" s="27"/>
    </row>
    <row r="1263" spans="4:4">
      <c r="D1263" s="27"/>
    </row>
    <row r="1264" spans="4:4">
      <c r="D1264" s="27"/>
    </row>
    <row r="1265" spans="4:4">
      <c r="D1265" s="27"/>
    </row>
    <row r="1266" spans="4:4">
      <c r="D1266" s="27"/>
    </row>
    <row r="1267" spans="4:4">
      <c r="D1267" s="27"/>
    </row>
    <row r="1268" spans="4:4">
      <c r="D1268" s="27"/>
    </row>
    <row r="1269" spans="4:4">
      <c r="D1269" s="27"/>
    </row>
    <row r="1270" spans="4:4">
      <c r="D1270" s="27"/>
    </row>
    <row r="1271" spans="4:4">
      <c r="D1271" s="27"/>
    </row>
    <row r="1272" spans="4:4">
      <c r="D1272" s="27"/>
    </row>
    <row r="1273" spans="4:4">
      <c r="D1273" s="27"/>
    </row>
    <row r="1274" spans="4:4">
      <c r="D1274" s="27"/>
    </row>
    <row r="1275" spans="4:4">
      <c r="D1275" s="27"/>
    </row>
    <row r="1276" spans="4:4">
      <c r="D1276" s="27"/>
    </row>
    <row r="1277" spans="4:4">
      <c r="D1277" s="27"/>
    </row>
    <row r="1278" spans="4:4">
      <c r="D1278" s="27"/>
    </row>
    <row r="1279" spans="4:4">
      <c r="D1279" s="27"/>
    </row>
    <row r="1280" spans="4:4">
      <c r="D1280" s="27"/>
    </row>
    <row r="1281" spans="4:4">
      <c r="D1281" s="27"/>
    </row>
    <row r="1282" spans="4:4">
      <c r="D1282" s="27"/>
    </row>
    <row r="1283" spans="4:4">
      <c r="D1283" s="27"/>
    </row>
    <row r="1284" spans="4:4">
      <c r="D1284" s="27"/>
    </row>
    <row r="1285" spans="4:4">
      <c r="D1285" s="27"/>
    </row>
    <row r="1286" spans="4:4">
      <c r="D1286" s="27"/>
    </row>
    <row r="1287" spans="4:4">
      <c r="D1287" s="27"/>
    </row>
    <row r="1288" spans="4:4">
      <c r="D1288" s="27"/>
    </row>
    <row r="1289" spans="4:4">
      <c r="D1289" s="27"/>
    </row>
  </sheetData>
  <conditionalFormatting sqref="E6:F6 J129 J342">
    <cfRule type="cellIs" dxfId="55" priority="813" operator="lessThan">
      <formula>0</formula>
    </cfRule>
    <cfRule type="cellIs" dxfId="54" priority="814" operator="greaterThan">
      <formula>0</formula>
    </cfRule>
  </conditionalFormatting>
  <conditionalFormatting sqref="E342">
    <cfRule type="cellIs" dxfId="49" priority="801" operator="lessThan">
      <formula>0</formula>
    </cfRule>
    <cfRule type="cellIs" dxfId="48" priority="802" operator="greaterThan">
      <formula>0</formula>
    </cfRule>
  </conditionalFormatting>
  <conditionalFormatting sqref="F342">
    <cfRule type="cellIs" dxfId="47" priority="799" operator="lessThan">
      <formula>0</formula>
    </cfRule>
    <cfRule type="cellIs" dxfId="46" priority="800" operator="greaterThan">
      <formula>0</formula>
    </cfRule>
  </conditionalFormatting>
  <conditionalFormatting sqref="F342">
    <cfRule type="cellIs" dxfId="45" priority="797" operator="lessThan">
      <formula>0</formula>
    </cfRule>
    <cfRule type="cellIs" dxfId="44" priority="798" operator="greaterThan">
      <formula>0</formula>
    </cfRule>
  </conditionalFormatting>
  <conditionalFormatting sqref="E7">
    <cfRule type="cellIs" dxfId="43" priority="778" operator="lessThan">
      <formula>0</formula>
    </cfRule>
    <cfRule type="cellIs" dxfId="42" priority="779" operator="greaterThan">
      <formula>0</formula>
    </cfRule>
  </conditionalFormatting>
  <conditionalFormatting sqref="F7">
    <cfRule type="cellIs" dxfId="41" priority="776" operator="lessThan">
      <formula>0</formula>
    </cfRule>
    <cfRule type="cellIs" dxfId="40" priority="777" operator="greaterThan">
      <formula>0</formula>
    </cfRule>
  </conditionalFormatting>
  <conditionalFormatting sqref="E8">
    <cfRule type="cellIs" dxfId="39" priority="774" operator="lessThan">
      <formula>0</formula>
    </cfRule>
    <cfRule type="cellIs" dxfId="38" priority="775" operator="greaterThan">
      <formula>0</formula>
    </cfRule>
  </conditionalFormatting>
  <conditionalFormatting sqref="F8">
    <cfRule type="cellIs" dxfId="37" priority="772" operator="lessThan">
      <formula>0</formula>
    </cfRule>
    <cfRule type="cellIs" dxfId="36" priority="773" operator="greaterThan">
      <formula>0</formula>
    </cfRule>
  </conditionalFormatting>
  <conditionalFormatting sqref="E9">
    <cfRule type="cellIs" dxfId="35" priority="770" operator="lessThan">
      <formula>0</formula>
    </cfRule>
    <cfRule type="cellIs" dxfId="34" priority="771" operator="greaterThan">
      <formula>0</formula>
    </cfRule>
  </conditionalFormatting>
  <conditionalFormatting sqref="F9">
    <cfRule type="cellIs" dxfId="33" priority="768" operator="lessThan">
      <formula>0</formula>
    </cfRule>
    <cfRule type="cellIs" dxfId="32" priority="769" operator="greaterThan">
      <formula>0</formula>
    </cfRule>
  </conditionalFormatting>
  <conditionalFormatting sqref="E10">
    <cfRule type="cellIs" dxfId="31" priority="766" operator="lessThan">
      <formula>0</formula>
    </cfRule>
    <cfRule type="cellIs" dxfId="30" priority="767" operator="greaterThan">
      <formula>0</formula>
    </cfRule>
  </conditionalFormatting>
  <conditionalFormatting sqref="F10">
    <cfRule type="cellIs" dxfId="29" priority="764" operator="lessThan">
      <formula>0</formula>
    </cfRule>
    <cfRule type="cellIs" dxfId="28" priority="765" operator="greaterThan">
      <formula>0</formula>
    </cfRule>
  </conditionalFormatting>
  <conditionalFormatting sqref="E11">
    <cfRule type="cellIs" dxfId="27" priority="762" operator="lessThan">
      <formula>0</formula>
    </cfRule>
    <cfRule type="cellIs" dxfId="26" priority="763" operator="greaterThan">
      <formula>0</formula>
    </cfRule>
  </conditionalFormatting>
  <conditionalFormatting sqref="F11">
    <cfRule type="cellIs" dxfId="25" priority="760" operator="lessThan">
      <formula>0</formula>
    </cfRule>
    <cfRule type="cellIs" dxfId="24" priority="761" operator="greaterThan">
      <formula>0</formula>
    </cfRule>
  </conditionalFormatting>
  <conditionalFormatting sqref="E12">
    <cfRule type="cellIs" dxfId="23" priority="758" operator="lessThan">
      <formula>0</formula>
    </cfRule>
    <cfRule type="cellIs" dxfId="22" priority="759" operator="greaterThan">
      <formula>0</formula>
    </cfRule>
  </conditionalFormatting>
  <conditionalFormatting sqref="F12">
    <cfRule type="cellIs" dxfId="21" priority="756" operator="lessThan">
      <formula>0</formula>
    </cfRule>
    <cfRule type="cellIs" dxfId="20" priority="757" operator="greaterThan">
      <formula>0</formula>
    </cfRule>
  </conditionalFormatting>
  <conditionalFormatting sqref="E13">
    <cfRule type="cellIs" dxfId="19" priority="754" operator="lessThan">
      <formula>0</formula>
    </cfRule>
    <cfRule type="cellIs" dxfId="18" priority="755" operator="greaterThan">
      <formula>0</formula>
    </cfRule>
  </conditionalFormatting>
  <conditionalFormatting sqref="F13">
    <cfRule type="cellIs" dxfId="17" priority="752" operator="lessThan">
      <formula>0</formula>
    </cfRule>
    <cfRule type="cellIs" dxfId="16" priority="753" operator="greaterThan">
      <formula>0</formula>
    </cfRule>
  </conditionalFormatting>
  <conditionalFormatting sqref="E14">
    <cfRule type="cellIs" dxfId="15" priority="750" operator="lessThan">
      <formula>0</formula>
    </cfRule>
    <cfRule type="cellIs" dxfId="14" priority="751" operator="greaterThan">
      <formula>0</formula>
    </cfRule>
  </conditionalFormatting>
  <conditionalFormatting sqref="F14">
    <cfRule type="cellIs" dxfId="13" priority="748" operator="lessThan">
      <formula>0</formula>
    </cfRule>
    <cfRule type="cellIs" dxfId="12" priority="749" operator="greaterThan">
      <formula>0</formula>
    </cfRule>
  </conditionalFormatting>
  <conditionalFormatting sqref="E15">
    <cfRule type="cellIs" dxfId="11" priority="746" operator="lessThan">
      <formula>0</formula>
    </cfRule>
    <cfRule type="cellIs" dxfId="10" priority="747" operator="greaterThan">
      <formula>0</formula>
    </cfRule>
  </conditionalFormatting>
  <conditionalFormatting sqref="F15">
    <cfRule type="cellIs" dxfId="9" priority="744" operator="lessThan">
      <formula>0</formula>
    </cfRule>
    <cfRule type="cellIs" dxfId="8" priority="745" operator="greaterThan">
      <formula>0</formula>
    </cfRule>
  </conditionalFormatting>
  <conditionalFormatting sqref="E16">
    <cfRule type="cellIs" dxfId="7" priority="742" operator="lessThan">
      <formula>0</formula>
    </cfRule>
    <cfRule type="cellIs" dxfId="6" priority="743" operator="greaterThan">
      <formula>0</formula>
    </cfRule>
  </conditionalFormatting>
  <conditionalFormatting sqref="F16">
    <cfRule type="cellIs" dxfId="5" priority="740" operator="lessThan">
      <formula>0</formula>
    </cfRule>
    <cfRule type="cellIs" dxfId="4" priority="741" operator="greaterThan">
      <formula>0</formula>
    </cfRule>
  </conditionalFormatting>
  <conditionalFormatting sqref="E17:E955">
    <cfRule type="cellIs" dxfId="3" priority="738" operator="lessThan">
      <formula>0</formula>
    </cfRule>
    <cfRule type="cellIs" dxfId="2" priority="739" operator="greaterThan">
      <formula>0</formula>
    </cfRule>
  </conditionalFormatting>
  <conditionalFormatting sqref="F17:F955">
    <cfRule type="cellIs" dxfId="1" priority="736" operator="lessThan">
      <formula>0</formula>
    </cfRule>
    <cfRule type="cellIs" dxfId="0" priority="737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MIB dal 2013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</dc:creator>
  <cp:lastModifiedBy>Francesco</cp:lastModifiedBy>
  <dcterms:created xsi:type="dcterms:W3CDTF">2016-04-14T11:42:10Z</dcterms:created>
  <dcterms:modified xsi:type="dcterms:W3CDTF">2017-01-16T15:42:05Z</dcterms:modified>
</cp:coreProperties>
</file>